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vind\Downloads\"/>
    </mc:Choice>
  </mc:AlternateContent>
  <bookViews>
    <workbookView xWindow="0" yWindow="0" windowWidth="23040" windowHeight="8970" activeTab="3"/>
  </bookViews>
  <sheets>
    <sheet name="Call center data" sheetId="1" r:id="rId1"/>
    <sheet name="Capability" sheetId="3" r:id="rId2"/>
    <sheet name="Charts" sheetId="5" r:id="rId3"/>
    <sheet name="MSA" sheetId="4" r:id="rId4"/>
    <sheet name="QA Analyst Ratings" sheetId="2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" i="4"/>
  <c r="K3" i="4"/>
  <c r="N3" i="4" s="1"/>
  <c r="K4" i="4"/>
  <c r="N4" i="4" s="1"/>
  <c r="K5" i="4"/>
  <c r="N5" i="4" s="1"/>
  <c r="K6" i="4"/>
  <c r="N6" i="4" s="1"/>
  <c r="K7" i="4"/>
  <c r="N7" i="4" s="1"/>
  <c r="K8" i="4"/>
  <c r="N8" i="4" s="1"/>
  <c r="K9" i="4"/>
  <c r="N9" i="4" s="1"/>
  <c r="K10" i="4"/>
  <c r="N10" i="4" s="1"/>
  <c r="K11" i="4"/>
  <c r="N11" i="4" s="1"/>
  <c r="K12" i="4"/>
  <c r="N12" i="4" s="1"/>
  <c r="K13" i="4"/>
  <c r="N13" i="4" s="1"/>
  <c r="K14" i="4"/>
  <c r="N14" i="4" s="1"/>
  <c r="K15" i="4"/>
  <c r="N15" i="4" s="1"/>
  <c r="K16" i="4"/>
  <c r="N16" i="4" s="1"/>
  <c r="K17" i="4"/>
  <c r="N17" i="4" s="1"/>
  <c r="K18" i="4"/>
  <c r="N18" i="4" s="1"/>
  <c r="K19" i="4"/>
  <c r="N19" i="4" s="1"/>
  <c r="K20" i="4"/>
  <c r="N20" i="4" s="1"/>
  <c r="K21" i="4"/>
  <c r="N21" i="4" s="1"/>
  <c r="K2" i="4"/>
  <c r="N2" i="4" s="1"/>
  <c r="B26" i="4"/>
  <c r="E24" i="4"/>
  <c r="D24" i="4"/>
  <c r="C24" i="4"/>
  <c r="B24" i="4"/>
  <c r="E23" i="4"/>
  <c r="D23" i="4"/>
  <c r="C23" i="4"/>
  <c r="B23" i="4"/>
  <c r="F3" i="4"/>
  <c r="G3" i="4"/>
  <c r="H3" i="4"/>
  <c r="I3" i="4" s="1"/>
  <c r="J3" i="4"/>
  <c r="F4" i="4"/>
  <c r="G4" i="4"/>
  <c r="H4" i="4"/>
  <c r="J4" i="4"/>
  <c r="F5" i="4"/>
  <c r="G5" i="4"/>
  <c r="H5" i="4"/>
  <c r="J5" i="4"/>
  <c r="F6" i="4"/>
  <c r="G6" i="4"/>
  <c r="H6" i="4"/>
  <c r="J6" i="4"/>
  <c r="F7" i="4"/>
  <c r="G7" i="4"/>
  <c r="H7" i="4"/>
  <c r="J7" i="4"/>
  <c r="F8" i="4"/>
  <c r="G8" i="4"/>
  <c r="H8" i="4"/>
  <c r="J8" i="4"/>
  <c r="F9" i="4"/>
  <c r="G9" i="4"/>
  <c r="H9" i="4"/>
  <c r="J9" i="4"/>
  <c r="F10" i="4"/>
  <c r="G10" i="4"/>
  <c r="H10" i="4"/>
  <c r="J10" i="4"/>
  <c r="F11" i="4"/>
  <c r="G11" i="4"/>
  <c r="H11" i="4"/>
  <c r="J11" i="4"/>
  <c r="F12" i="4"/>
  <c r="G12" i="4"/>
  <c r="H12" i="4"/>
  <c r="J12" i="4"/>
  <c r="F13" i="4"/>
  <c r="G13" i="4"/>
  <c r="H13" i="4"/>
  <c r="J13" i="4"/>
  <c r="F14" i="4"/>
  <c r="G14" i="4"/>
  <c r="H14" i="4"/>
  <c r="J14" i="4"/>
  <c r="F15" i="4"/>
  <c r="G15" i="4"/>
  <c r="H15" i="4"/>
  <c r="I15" i="4" s="1"/>
  <c r="J15" i="4"/>
  <c r="F16" i="4"/>
  <c r="G16" i="4"/>
  <c r="H16" i="4"/>
  <c r="J16" i="4"/>
  <c r="F17" i="4"/>
  <c r="G17" i="4"/>
  <c r="H17" i="4"/>
  <c r="J17" i="4"/>
  <c r="F18" i="4"/>
  <c r="G18" i="4"/>
  <c r="H18" i="4"/>
  <c r="J18" i="4"/>
  <c r="F19" i="4"/>
  <c r="G19" i="4"/>
  <c r="H19" i="4"/>
  <c r="J19" i="4"/>
  <c r="F20" i="4"/>
  <c r="G20" i="4"/>
  <c r="H20" i="4"/>
  <c r="J20" i="4"/>
  <c r="F21" i="4"/>
  <c r="G21" i="4"/>
  <c r="H21" i="4"/>
  <c r="J21" i="4"/>
  <c r="J2" i="4"/>
  <c r="H2" i="4"/>
  <c r="G2" i="4"/>
  <c r="I2" i="4" s="1"/>
  <c r="F2" i="4"/>
  <c r="B27" i="4" l="1"/>
  <c r="B28" i="4"/>
  <c r="B30" i="4" s="1"/>
  <c r="M2" i="4"/>
  <c r="M18" i="4"/>
  <c r="M14" i="4"/>
  <c r="M10" i="4"/>
  <c r="M6" i="4"/>
  <c r="M21" i="4"/>
  <c r="M17" i="4"/>
  <c r="M13" i="4"/>
  <c r="M9" i="4"/>
  <c r="M5" i="4"/>
  <c r="I21" i="4"/>
  <c r="M20" i="4"/>
  <c r="M16" i="4"/>
  <c r="M12" i="4"/>
  <c r="M8" i="4"/>
  <c r="M4" i="4"/>
  <c r="M19" i="4"/>
  <c r="M15" i="4"/>
  <c r="M11" i="4"/>
  <c r="M7" i="4"/>
  <c r="M3" i="4"/>
  <c r="I14" i="4"/>
  <c r="I13" i="4"/>
  <c r="I11" i="4"/>
  <c r="I10" i="4"/>
  <c r="I9" i="4"/>
  <c r="I7" i="4"/>
  <c r="I6" i="4"/>
  <c r="I5" i="4"/>
  <c r="I19" i="4"/>
  <c r="I16" i="4"/>
  <c r="I18" i="4"/>
  <c r="I17" i="4"/>
  <c r="I12" i="4"/>
  <c r="I8" i="4"/>
  <c r="I20" i="4"/>
  <c r="I4" i="4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" i="2"/>
  <c r="A21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" i="4"/>
  <c r="B3" i="3"/>
  <c r="G3" i="3" s="1"/>
  <c r="H3" i="3" s="1"/>
  <c r="C3" i="3"/>
  <c r="F3" i="3" s="1"/>
  <c r="C2" i="3"/>
  <c r="F2" i="3" s="1"/>
  <c r="B2" i="3"/>
  <c r="G2" i="3" l="1"/>
  <c r="H2" i="3" s="1"/>
  <c r="B33" i="4"/>
  <c r="B32" i="4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/>
</calcChain>
</file>

<file path=xl/sharedStrings.xml><?xml version="1.0" encoding="utf-8"?>
<sst xmlns="http://schemas.openxmlformats.org/spreadsheetml/2006/main" count="57" uniqueCount="46">
  <si>
    <t>Month</t>
  </si>
  <si>
    <t>Number of Reps</t>
  </si>
  <si>
    <t>Number of Calls</t>
  </si>
  <si>
    <t>AHT</t>
  </si>
  <si>
    <t>First Call Resolution</t>
  </si>
  <si>
    <t>5 Day Resolution</t>
  </si>
  <si>
    <t>FCR %</t>
  </si>
  <si>
    <t>5DR %</t>
  </si>
  <si>
    <t>Voice Sample</t>
  </si>
  <si>
    <t>Master Appraiser</t>
  </si>
  <si>
    <t>John Trial 1</t>
  </si>
  <si>
    <t>Miranda Trial 1</t>
  </si>
  <si>
    <t>Miranda Trial 2</t>
  </si>
  <si>
    <t>Metrics</t>
  </si>
  <si>
    <t>Mean</t>
  </si>
  <si>
    <t>StdDEV</t>
  </si>
  <si>
    <t>LSL</t>
  </si>
  <si>
    <t>USL</t>
  </si>
  <si>
    <t>Cp</t>
  </si>
  <si>
    <t>CPK</t>
  </si>
  <si>
    <t>Interpretation</t>
  </si>
  <si>
    <t>FCR%</t>
  </si>
  <si>
    <t>5DR%</t>
  </si>
  <si>
    <t>Part</t>
  </si>
  <si>
    <t>John_T1</t>
  </si>
  <si>
    <t>John_T2</t>
  </si>
  <si>
    <t>Miranda_T1</t>
  </si>
  <si>
    <t>Miranda_T2</t>
  </si>
  <si>
    <t>Part_Mean</t>
  </si>
  <si>
    <t>Part_Max</t>
  </si>
  <si>
    <t>Part_Min</t>
  </si>
  <si>
    <t>Part_Range</t>
  </si>
  <si>
    <t>Part_Std</t>
  </si>
  <si>
    <t>John Trial 2</t>
  </si>
  <si>
    <t>Metrix</t>
  </si>
  <si>
    <t>StdDev</t>
  </si>
  <si>
    <t>Reproducibility Appraiser</t>
  </si>
  <si>
    <t>Repeatability Equipment</t>
  </si>
  <si>
    <t>Total Gage R&amp;R</t>
  </si>
  <si>
    <t>John_Avg</t>
  </si>
  <si>
    <t>Miranda_Avg</t>
  </si>
  <si>
    <t>Exact agreement</t>
  </si>
  <si>
    <t>Within ±1 agreement</t>
  </si>
  <si>
    <t>Exact agreement %</t>
  </si>
  <si>
    <t>Within ±1 %</t>
  </si>
  <si>
    <t>Trend of FCR% and 5DR% (Jan 2014 – Dec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</si>
</sst>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Charts!$B$2:$B$25</c:f>
              <c:numCache>
                <c:formatCode>0.00%</c:formatCode>
                <c:ptCount val="24"/>
                <c:pt idx="0">
                  <c:v>0.72</c:v>
                </c:pt>
                <c:pt idx="1">
                  <c:v>0.79100000000000004</c:v>
                </c:pt>
                <c:pt idx="2">
                  <c:v>0.68600000000000005</c:v>
                </c:pt>
                <c:pt idx="3">
                  <c:v>0.88100000000000001</c:v>
                </c:pt>
                <c:pt idx="4">
                  <c:v>0.58399999999999996</c:v>
                </c:pt>
                <c:pt idx="5">
                  <c:v>0.76900000000000002</c:v>
                </c:pt>
                <c:pt idx="6">
                  <c:v>0.94399999999999995</c:v>
                </c:pt>
                <c:pt idx="7">
                  <c:v>0.66600000000000004</c:v>
                </c:pt>
                <c:pt idx="8">
                  <c:v>0.69799999999999995</c:v>
                </c:pt>
                <c:pt idx="9">
                  <c:v>0.81899999999999995</c:v>
                </c:pt>
                <c:pt idx="10">
                  <c:v>0.68799999999999994</c:v>
                </c:pt>
                <c:pt idx="11">
                  <c:v>0.59399999999999997</c:v>
                </c:pt>
                <c:pt idx="12">
                  <c:v>0.82799999999999996</c:v>
                </c:pt>
                <c:pt idx="13">
                  <c:v>0.95699999999999996</c:v>
                </c:pt>
                <c:pt idx="14">
                  <c:v>0.65300000000000002</c:v>
                </c:pt>
                <c:pt idx="15">
                  <c:v>0.64300000000000002</c:v>
                </c:pt>
                <c:pt idx="16">
                  <c:v>0.82199999999999995</c:v>
                </c:pt>
                <c:pt idx="17">
                  <c:v>0.91500000000000004</c:v>
                </c:pt>
                <c:pt idx="18">
                  <c:v>0.85699999999999998</c:v>
                </c:pt>
                <c:pt idx="19">
                  <c:v>0.68600000000000005</c:v>
                </c:pt>
                <c:pt idx="20">
                  <c:v>0.79400000000000004</c:v>
                </c:pt>
                <c:pt idx="21">
                  <c:v>0.69899999999999995</c:v>
                </c:pt>
                <c:pt idx="22">
                  <c:v>0.78800000000000003</c:v>
                </c:pt>
                <c:pt idx="23">
                  <c:v>0.88700000000000001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69-427F-83F0-AADA54C9CC8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Charts!$C$2:$C$25</c:f>
              <c:numCache>
                <c:formatCode>0.00%</c:formatCode>
                <c:ptCount val="24"/>
                <c:pt idx="0">
                  <c:v>0.69199999999999995</c:v>
                </c:pt>
                <c:pt idx="1">
                  <c:v>0.76300000000000001</c:v>
                </c:pt>
                <c:pt idx="2">
                  <c:v>0.72399999999999998</c:v>
                </c:pt>
                <c:pt idx="3">
                  <c:v>0.71699999999999997</c:v>
                </c:pt>
                <c:pt idx="4">
                  <c:v>0.73799999999999999</c:v>
                </c:pt>
                <c:pt idx="5">
                  <c:v>0.752</c:v>
                </c:pt>
                <c:pt idx="6">
                  <c:v>0.82</c:v>
                </c:pt>
                <c:pt idx="7">
                  <c:v>0.754</c:v>
                </c:pt>
                <c:pt idx="8">
                  <c:v>0.80200000000000005</c:v>
                </c:pt>
                <c:pt idx="9">
                  <c:v>0.65100000000000002</c:v>
                </c:pt>
                <c:pt idx="10">
                  <c:v>0.68600000000000005</c:v>
                </c:pt>
                <c:pt idx="11">
                  <c:v>0.82199999999999995</c:v>
                </c:pt>
                <c:pt idx="12">
                  <c:v>0.69699999999999995</c:v>
                </c:pt>
                <c:pt idx="13">
                  <c:v>0.57499999999999996</c:v>
                </c:pt>
                <c:pt idx="14">
                  <c:v>0.71199999999999997</c:v>
                </c:pt>
                <c:pt idx="15">
                  <c:v>0.65600000000000003</c:v>
                </c:pt>
                <c:pt idx="16">
                  <c:v>0.69699999999999995</c:v>
                </c:pt>
                <c:pt idx="17">
                  <c:v>0.749</c:v>
                </c:pt>
                <c:pt idx="18">
                  <c:v>0.81399999999999995</c:v>
                </c:pt>
                <c:pt idx="19">
                  <c:v>0.66800000000000004</c:v>
                </c:pt>
                <c:pt idx="20">
                  <c:v>0.76200000000000001</c:v>
                </c:pt>
                <c:pt idx="21">
                  <c:v>0.70099999999999996</c:v>
                </c:pt>
                <c:pt idx="22">
                  <c:v>0.79100000000000004</c:v>
                </c:pt>
                <c:pt idx="23">
                  <c:v>0.89200000000000002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69-427F-83F0-AADA54C9CC82}"/>
            </c:ext>
          </c:extLst>
        </c:ser>
        <c:ser>
          <c:idx val="2"/>
          <c:order val="2"/>
          <c:tx>
            <c:v>Specification Limits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(Charts!$B$26,Charts!$B$27)</c:f>
              <c:numCache>
                <c:formatCode>0.00%</c:formatCode>
                <c:ptCount val="2"/>
                <c:pt idx="0">
                  <c:v>0.75</c:v>
                </c:pt>
                <c:pt idx="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69-427F-83F0-AADA54C9C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656688"/>
        <c:axId val="1178643376"/>
      </c:lineChart>
      <c:catAx>
        <c:axId val="117865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43376"/>
        <c:crosses val="autoZero"/>
        <c:auto val="1"/>
        <c:lblAlgn val="ctr"/>
        <c:lblOffset val="100"/>
        <c:noMultiLvlLbl val="0"/>
      </c:catAx>
      <c:valAx>
        <c:axId val="11786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5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Charts!$A$2:$A$25</c:f>
              <c:strCache>
                <c:ptCount val="24"/>
                <c:pt idx="0">
                  <c:v>Jan 2014</c:v>
                </c:pt>
                <c:pt idx="1">
                  <c:v>Feb 2014</c:v>
                </c:pt>
                <c:pt idx="2">
                  <c:v>Mar 2014</c:v>
                </c:pt>
                <c:pt idx="3">
                  <c:v>Apr 2014</c:v>
                </c:pt>
                <c:pt idx="4">
                  <c:v>May 2014</c:v>
                </c:pt>
                <c:pt idx="5">
                  <c:v>Jun 2014</c:v>
                </c:pt>
                <c:pt idx="6">
                  <c:v>Jul 2014</c:v>
                </c:pt>
                <c:pt idx="7">
                  <c:v>Aug 2014</c:v>
                </c:pt>
                <c:pt idx="8">
                  <c:v>Sep 2014</c:v>
                </c:pt>
                <c:pt idx="9">
                  <c:v>Oct 2014</c:v>
                </c:pt>
                <c:pt idx="10">
                  <c:v>Nov 2014</c:v>
                </c:pt>
                <c:pt idx="11">
                  <c:v>Dec 2014</c:v>
                </c:pt>
                <c:pt idx="12">
                  <c:v>Jan 2015</c:v>
                </c:pt>
                <c:pt idx="13">
                  <c:v>Feb 2015</c:v>
                </c:pt>
                <c:pt idx="14">
                  <c:v>Mar 2015</c:v>
                </c:pt>
                <c:pt idx="15">
                  <c:v>Apr 2015</c:v>
                </c:pt>
                <c:pt idx="16">
                  <c:v>May 2015</c:v>
                </c:pt>
                <c:pt idx="17">
                  <c:v>Jun 2015</c:v>
                </c:pt>
                <c:pt idx="18">
                  <c:v>Jul 2015</c:v>
                </c:pt>
                <c:pt idx="19">
                  <c:v>Aug 2015</c:v>
                </c:pt>
                <c:pt idx="20">
                  <c:v>Sep 2015</c:v>
                </c:pt>
                <c:pt idx="21">
                  <c:v>Oct 2015</c:v>
                </c:pt>
                <c:pt idx="22">
                  <c:v>Nov 2015</c:v>
                </c:pt>
                <c:pt idx="23">
                  <c:v>Dec 2015</c:v>
                </c:pt>
              </c:strCache>
            </c:strRef>
          </c:cat>
          <c:val>
            <c:numRef>
              <c:f>Charts!$B$2:$B$25</c:f>
              <c:numCache>
                <c:formatCode>0.00%</c:formatCode>
                <c:ptCount val="24"/>
                <c:pt idx="0">
                  <c:v>0.72</c:v>
                </c:pt>
                <c:pt idx="1">
                  <c:v>0.79100000000000004</c:v>
                </c:pt>
                <c:pt idx="2">
                  <c:v>0.68600000000000005</c:v>
                </c:pt>
                <c:pt idx="3">
                  <c:v>0.88100000000000001</c:v>
                </c:pt>
                <c:pt idx="4">
                  <c:v>0.58399999999999996</c:v>
                </c:pt>
                <c:pt idx="5">
                  <c:v>0.76900000000000002</c:v>
                </c:pt>
                <c:pt idx="6">
                  <c:v>0.94399999999999995</c:v>
                </c:pt>
                <c:pt idx="7">
                  <c:v>0.66600000000000004</c:v>
                </c:pt>
                <c:pt idx="8">
                  <c:v>0.69799999999999995</c:v>
                </c:pt>
                <c:pt idx="9">
                  <c:v>0.81899999999999995</c:v>
                </c:pt>
                <c:pt idx="10">
                  <c:v>0.68799999999999994</c:v>
                </c:pt>
                <c:pt idx="11">
                  <c:v>0.59399999999999997</c:v>
                </c:pt>
                <c:pt idx="12">
                  <c:v>0.82799999999999996</c:v>
                </c:pt>
                <c:pt idx="13">
                  <c:v>0.95699999999999996</c:v>
                </c:pt>
                <c:pt idx="14">
                  <c:v>0.65300000000000002</c:v>
                </c:pt>
                <c:pt idx="15">
                  <c:v>0.64300000000000002</c:v>
                </c:pt>
                <c:pt idx="16">
                  <c:v>0.82199999999999995</c:v>
                </c:pt>
                <c:pt idx="17">
                  <c:v>0.91500000000000004</c:v>
                </c:pt>
                <c:pt idx="18">
                  <c:v>0.85699999999999998</c:v>
                </c:pt>
                <c:pt idx="19">
                  <c:v>0.68600000000000005</c:v>
                </c:pt>
                <c:pt idx="20">
                  <c:v>0.79400000000000004</c:v>
                </c:pt>
                <c:pt idx="21">
                  <c:v>0.69899999999999995</c:v>
                </c:pt>
                <c:pt idx="22">
                  <c:v>0.78800000000000003</c:v>
                </c:pt>
                <c:pt idx="23">
                  <c:v>0.88700000000000001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A-4D5D-A586-46E856B0DB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Charts!$A$2:$A$25</c:f>
              <c:strCache>
                <c:ptCount val="24"/>
                <c:pt idx="0">
                  <c:v>Jan 2014</c:v>
                </c:pt>
                <c:pt idx="1">
                  <c:v>Feb 2014</c:v>
                </c:pt>
                <c:pt idx="2">
                  <c:v>Mar 2014</c:v>
                </c:pt>
                <c:pt idx="3">
                  <c:v>Apr 2014</c:v>
                </c:pt>
                <c:pt idx="4">
                  <c:v>May 2014</c:v>
                </c:pt>
                <c:pt idx="5">
                  <c:v>Jun 2014</c:v>
                </c:pt>
                <c:pt idx="6">
                  <c:v>Jul 2014</c:v>
                </c:pt>
                <c:pt idx="7">
                  <c:v>Aug 2014</c:v>
                </c:pt>
                <c:pt idx="8">
                  <c:v>Sep 2014</c:v>
                </c:pt>
                <c:pt idx="9">
                  <c:v>Oct 2014</c:v>
                </c:pt>
                <c:pt idx="10">
                  <c:v>Nov 2014</c:v>
                </c:pt>
                <c:pt idx="11">
                  <c:v>Dec 2014</c:v>
                </c:pt>
                <c:pt idx="12">
                  <c:v>Jan 2015</c:v>
                </c:pt>
                <c:pt idx="13">
                  <c:v>Feb 2015</c:v>
                </c:pt>
                <c:pt idx="14">
                  <c:v>Mar 2015</c:v>
                </c:pt>
                <c:pt idx="15">
                  <c:v>Apr 2015</c:v>
                </c:pt>
                <c:pt idx="16">
                  <c:v>May 2015</c:v>
                </c:pt>
                <c:pt idx="17">
                  <c:v>Jun 2015</c:v>
                </c:pt>
                <c:pt idx="18">
                  <c:v>Jul 2015</c:v>
                </c:pt>
                <c:pt idx="19">
                  <c:v>Aug 2015</c:v>
                </c:pt>
                <c:pt idx="20">
                  <c:v>Sep 2015</c:v>
                </c:pt>
                <c:pt idx="21">
                  <c:v>Oct 2015</c:v>
                </c:pt>
                <c:pt idx="22">
                  <c:v>Nov 2015</c:v>
                </c:pt>
                <c:pt idx="23">
                  <c:v>Dec 2015</c:v>
                </c:pt>
              </c:strCache>
            </c:strRef>
          </c:cat>
          <c:val>
            <c:numRef>
              <c:f>Charts!$C$2:$C$25</c:f>
              <c:numCache>
                <c:formatCode>0.00%</c:formatCode>
                <c:ptCount val="24"/>
                <c:pt idx="0">
                  <c:v>0.69199999999999995</c:v>
                </c:pt>
                <c:pt idx="1">
                  <c:v>0.76300000000000001</c:v>
                </c:pt>
                <c:pt idx="2">
                  <c:v>0.72399999999999998</c:v>
                </c:pt>
                <c:pt idx="3">
                  <c:v>0.71699999999999997</c:v>
                </c:pt>
                <c:pt idx="4">
                  <c:v>0.73799999999999999</c:v>
                </c:pt>
                <c:pt idx="5">
                  <c:v>0.752</c:v>
                </c:pt>
                <c:pt idx="6">
                  <c:v>0.82</c:v>
                </c:pt>
                <c:pt idx="7">
                  <c:v>0.754</c:v>
                </c:pt>
                <c:pt idx="8">
                  <c:v>0.80200000000000005</c:v>
                </c:pt>
                <c:pt idx="9">
                  <c:v>0.65100000000000002</c:v>
                </c:pt>
                <c:pt idx="10">
                  <c:v>0.68600000000000005</c:v>
                </c:pt>
                <c:pt idx="11">
                  <c:v>0.82199999999999995</c:v>
                </c:pt>
                <c:pt idx="12">
                  <c:v>0.69699999999999995</c:v>
                </c:pt>
                <c:pt idx="13">
                  <c:v>0.57499999999999996</c:v>
                </c:pt>
                <c:pt idx="14">
                  <c:v>0.71199999999999997</c:v>
                </c:pt>
                <c:pt idx="15">
                  <c:v>0.65600000000000003</c:v>
                </c:pt>
                <c:pt idx="16">
                  <c:v>0.69699999999999995</c:v>
                </c:pt>
                <c:pt idx="17">
                  <c:v>0.749</c:v>
                </c:pt>
                <c:pt idx="18">
                  <c:v>0.81399999999999995</c:v>
                </c:pt>
                <c:pt idx="19">
                  <c:v>0.66800000000000004</c:v>
                </c:pt>
                <c:pt idx="20">
                  <c:v>0.76200000000000001</c:v>
                </c:pt>
                <c:pt idx="21">
                  <c:v>0.70099999999999996</c:v>
                </c:pt>
                <c:pt idx="22">
                  <c:v>0.79100000000000004</c:v>
                </c:pt>
                <c:pt idx="23">
                  <c:v>0.89200000000000002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A-4D5D-A586-46E856B0D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640880"/>
        <c:axId val="1178640464"/>
      </c:lineChart>
      <c:catAx>
        <c:axId val="117864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40464"/>
        <c:crosses val="autoZero"/>
        <c:auto val="1"/>
        <c:lblAlgn val="ctr"/>
        <c:lblOffset val="100"/>
        <c:noMultiLvlLbl val="0"/>
      </c:catAx>
      <c:valAx>
        <c:axId val="117864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4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MSA Trend R&amp;R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MSA!$B$1</c:f>
              <c:strCache>
                <c:ptCount val="1"/>
                <c:pt idx="0">
                  <c:v>John_T1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MSA!$B$2:$B$33</c:f>
              <c:numCache>
                <c:formatCode>General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2.6</c:v>
                </c:pt>
                <c:pt idx="22">
                  <c:v>1.019803902718557</c:v>
                </c:pt>
                <c:pt idx="24">
                  <c:v>1.0666783876422807</c:v>
                </c:pt>
                <c:pt idx="25">
                  <c:v>1.0277402395547233</c:v>
                </c:pt>
                <c:pt idx="26">
                  <c:v>1.4812335341407632</c:v>
                </c:pt>
                <c:pt idx="28">
                  <c:v>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1-444F-A65C-BE10ED1896D4}"/>
            </c:ext>
          </c:extLst>
        </c:ser>
        <c:ser>
          <c:idx val="1"/>
          <c:order val="1"/>
          <c:tx>
            <c:strRef>
              <c:f>MSA!$C$1</c:f>
              <c:strCache>
                <c:ptCount val="1"/>
                <c:pt idx="0">
                  <c:v>John_T2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MSA!$C$2:$C$33</c:f>
              <c:numCache>
                <c:formatCode>General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2.6</c:v>
                </c:pt>
                <c:pt idx="22">
                  <c:v>1.019803902718557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1-444F-A65C-BE10ED1896D4}"/>
            </c:ext>
          </c:extLst>
        </c:ser>
        <c:ser>
          <c:idx val="2"/>
          <c:order val="2"/>
          <c:tx>
            <c:strRef>
              <c:f>MSA!$D$1</c:f>
              <c:strCache>
                <c:ptCount val="1"/>
                <c:pt idx="0">
                  <c:v>Miranda_T1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MSA!$D$2:$D$33</c:f>
              <c:numCache>
                <c:formatCode>General</c:formatCode>
                <c:ptCount val="3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2.95</c:v>
                </c:pt>
                <c:pt idx="22">
                  <c:v>1.16081867662439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71-444F-A65C-BE10ED1896D4}"/>
            </c:ext>
          </c:extLst>
        </c:ser>
        <c:ser>
          <c:idx val="3"/>
          <c:order val="3"/>
          <c:tx>
            <c:strRef>
              <c:f>MSA!$E$1</c:f>
              <c:strCache>
                <c:ptCount val="1"/>
                <c:pt idx="0">
                  <c:v>Miranda_T2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MSA!$E$2:$E$33</c:f>
              <c:numCache>
                <c:formatCode>General</c:formatCode>
                <c:ptCount val="3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  <c:pt idx="21">
                  <c:v>2.85</c:v>
                </c:pt>
                <c:pt idx="22">
                  <c:v>1.0618380290797651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71-444F-A65C-BE10ED1896D4}"/>
            </c:ext>
          </c:extLst>
        </c:ser>
        <c:ser>
          <c:idx val="4"/>
          <c:order val="4"/>
          <c:tx>
            <c:strRef>
              <c:f>MSA!$F$1</c:f>
              <c:strCache>
                <c:ptCount val="1"/>
                <c:pt idx="0">
                  <c:v>Part_Mean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MSA!$F$2:$F$33</c:f>
              <c:numCache>
                <c:formatCode>General</c:formatCode>
                <c:ptCount val="32"/>
                <c:pt idx="0">
                  <c:v>2.5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1</c:v>
                </c:pt>
                <c:pt idx="5">
                  <c:v>4.5</c:v>
                </c:pt>
                <c:pt idx="6">
                  <c:v>4.25</c:v>
                </c:pt>
                <c:pt idx="7">
                  <c:v>2.5</c:v>
                </c:pt>
                <c:pt idx="8">
                  <c:v>3</c:v>
                </c:pt>
                <c:pt idx="9">
                  <c:v>4.5</c:v>
                </c:pt>
                <c:pt idx="10">
                  <c:v>1.5</c:v>
                </c:pt>
                <c:pt idx="11">
                  <c:v>3</c:v>
                </c:pt>
                <c:pt idx="12">
                  <c:v>4.5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3.25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71-444F-A65C-BE10ED1896D4}"/>
            </c:ext>
          </c:extLst>
        </c:ser>
        <c:ser>
          <c:idx val="5"/>
          <c:order val="5"/>
          <c:tx>
            <c:strRef>
              <c:f>MSA!$G$1</c:f>
              <c:strCache>
                <c:ptCount val="1"/>
                <c:pt idx="0">
                  <c:v>Part_Max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MSA!$G$2:$G$33</c:f>
              <c:numCache>
                <c:formatCode>General</c:formatCode>
                <c:ptCount val="3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71-444F-A65C-BE10ED1896D4}"/>
            </c:ext>
          </c:extLst>
        </c:ser>
        <c:ser>
          <c:idx val="6"/>
          <c:order val="6"/>
          <c:tx>
            <c:strRef>
              <c:f>MSA!$H$1</c:f>
              <c:strCache>
                <c:ptCount val="1"/>
                <c:pt idx="0">
                  <c:v>Part_Min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MSA!$H$2:$H$33</c:f>
              <c:numCache>
                <c:formatCode>General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71-444F-A65C-BE10ED1896D4}"/>
            </c:ext>
          </c:extLst>
        </c:ser>
        <c:ser>
          <c:idx val="7"/>
          <c:order val="7"/>
          <c:tx>
            <c:strRef>
              <c:f>MSA!$I$1</c:f>
              <c:strCache>
                <c:ptCount val="1"/>
                <c:pt idx="0">
                  <c:v>Part_Range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MSA!$I$2:$I$33</c:f>
              <c:numCache>
                <c:formatCode>General</c:formatCode>
                <c:ptCount val="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71-444F-A65C-BE10ED1896D4}"/>
            </c:ext>
          </c:extLst>
        </c:ser>
        <c:ser>
          <c:idx val="8"/>
          <c:order val="8"/>
          <c:tx>
            <c:strRef>
              <c:f>MSA!$J$1</c:f>
              <c:strCache>
                <c:ptCount val="1"/>
                <c:pt idx="0">
                  <c:v>Part_Std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MSA!$J$2:$J$33</c:f>
              <c:numCache>
                <c:formatCode>General</c:formatCode>
                <c:ptCount val="32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0.5</c:v>
                </c:pt>
                <c:pt idx="6">
                  <c:v>0.4330127018922193</c:v>
                </c:pt>
                <c:pt idx="7">
                  <c:v>0.5</c:v>
                </c:pt>
                <c:pt idx="8">
                  <c:v>0</c:v>
                </c:pt>
                <c:pt idx="9">
                  <c:v>0.5</c:v>
                </c:pt>
                <c:pt idx="10">
                  <c:v>0.5</c:v>
                </c:pt>
                <c:pt idx="11">
                  <c:v>0</c:v>
                </c:pt>
                <c:pt idx="12">
                  <c:v>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0.4330127018922193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71-444F-A65C-BE10ED1896D4}"/>
            </c:ext>
          </c:extLst>
        </c:ser>
        <c:ser>
          <c:idx val="9"/>
          <c:order val="9"/>
          <c:tx>
            <c:strRef>
              <c:f>MSA!$K$1</c:f>
              <c:strCache>
                <c:ptCount val="1"/>
                <c:pt idx="0">
                  <c:v>John_Avg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MSA!$K$2:$K$33</c:f>
              <c:numCache>
                <c:formatCode>General</c:formatCode>
                <c:ptCount val="32"/>
                <c:pt idx="0">
                  <c:v>2.5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1</c:v>
                </c:pt>
                <c:pt idx="5">
                  <c:v>4.5</c:v>
                </c:pt>
                <c:pt idx="6">
                  <c:v>4.25</c:v>
                </c:pt>
                <c:pt idx="7">
                  <c:v>2.5</c:v>
                </c:pt>
                <c:pt idx="8">
                  <c:v>3</c:v>
                </c:pt>
                <c:pt idx="9">
                  <c:v>4.5</c:v>
                </c:pt>
                <c:pt idx="10">
                  <c:v>1.5</c:v>
                </c:pt>
                <c:pt idx="11">
                  <c:v>3</c:v>
                </c:pt>
                <c:pt idx="12">
                  <c:v>4.5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3.25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71-444F-A65C-BE10ED1896D4}"/>
            </c:ext>
          </c:extLst>
        </c:ser>
        <c:ser>
          <c:idx val="10"/>
          <c:order val="10"/>
          <c:tx>
            <c:strRef>
              <c:f>MSA!$L$1</c:f>
              <c:strCache>
                <c:ptCount val="1"/>
                <c:pt idx="0">
                  <c:v>Miranda_Avg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MSA!$L$2:$L$33</c:f>
              <c:numCache>
                <c:formatCode>General</c:formatCode>
                <c:ptCount val="32"/>
                <c:pt idx="0">
                  <c:v>2.5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1</c:v>
                </c:pt>
                <c:pt idx="5">
                  <c:v>4.5</c:v>
                </c:pt>
                <c:pt idx="6">
                  <c:v>4.25</c:v>
                </c:pt>
                <c:pt idx="7">
                  <c:v>2.5</c:v>
                </c:pt>
                <c:pt idx="8">
                  <c:v>3</c:v>
                </c:pt>
                <c:pt idx="9">
                  <c:v>4.5</c:v>
                </c:pt>
                <c:pt idx="10">
                  <c:v>1.5</c:v>
                </c:pt>
                <c:pt idx="11">
                  <c:v>3</c:v>
                </c:pt>
                <c:pt idx="12">
                  <c:v>4.5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3.25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71-444F-A65C-BE10ED1896D4}"/>
            </c:ext>
          </c:extLst>
        </c:ser>
        <c:ser>
          <c:idx val="11"/>
          <c:order val="11"/>
          <c:tx>
            <c:strRef>
              <c:f>MSA!$M$1</c:f>
              <c:strCache>
                <c:ptCount val="1"/>
                <c:pt idx="0">
                  <c:v>Exact agreement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MSA!$M$2:$M$33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71-444F-A65C-BE10ED1896D4}"/>
            </c:ext>
          </c:extLst>
        </c:ser>
        <c:ser>
          <c:idx val="12"/>
          <c:order val="12"/>
          <c:tx>
            <c:strRef>
              <c:f>MSA!$N$1</c:f>
              <c:strCache>
                <c:ptCount val="1"/>
                <c:pt idx="0">
                  <c:v>Within ±1 agreement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MSA!$A$2:$A$33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Metrix</c:v>
                </c:pt>
                <c:pt idx="21">
                  <c:v>Mean</c:v>
                </c:pt>
                <c:pt idx="22">
                  <c:v>StdDev</c:v>
                </c:pt>
                <c:pt idx="24">
                  <c:v>Repeatability Equipment</c:v>
                </c:pt>
                <c:pt idx="25">
                  <c:v>Reproducibility Appraiser</c:v>
                </c:pt>
                <c:pt idx="26">
                  <c:v>Total Gage R&amp;R</c:v>
                </c:pt>
                <c:pt idx="28">
                  <c:v>Interpretation</c:v>
                </c:pt>
                <c:pt idx="30">
                  <c:v>Exact agreement %</c:v>
                </c:pt>
                <c:pt idx="31">
                  <c:v>Within ±1 %</c:v>
                </c:pt>
              </c:strCache>
            </c:strRef>
          </c:cat>
          <c:val>
            <c:numRef>
              <c:f>MSA!$N$2:$N$33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71-444F-A65C-BE10ED189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159823"/>
        <c:axId val="33160655"/>
      </c:barChart>
      <c:catAx>
        <c:axId val="33159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0655"/>
        <c:crosses val="autoZero"/>
        <c:auto val="1"/>
        <c:lblAlgn val="ctr"/>
        <c:lblOffset val="100"/>
        <c:noMultiLvlLbl val="0"/>
      </c:catAx>
      <c:valAx>
        <c:axId val="3316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5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4</xdr:row>
      <xdr:rowOff>19050</xdr:rowOff>
    </xdr:from>
    <xdr:to>
      <xdr:col>8</xdr:col>
      <xdr:colOff>426720</xdr:colOff>
      <xdr:row>19</xdr:row>
      <xdr:rowOff>19050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3</xdr:row>
      <xdr:rowOff>163830</xdr:rowOff>
    </xdr:from>
    <xdr:to>
      <xdr:col>16</xdr:col>
      <xdr:colOff>426720</xdr:colOff>
      <xdr:row>18</xdr:row>
      <xdr:rowOff>163830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33</xdr:row>
      <xdr:rowOff>19050</xdr:rowOff>
    </xdr:from>
    <xdr:to>
      <xdr:col>13</xdr:col>
      <xdr:colOff>1036320</xdr:colOff>
      <xdr:row>59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G1" sqref="G1:H1048576"/>
    </sheetView>
  </sheetViews>
  <sheetFormatPr defaultRowHeight="15" x14ac:dyDescent="0.25"/>
  <cols>
    <col min="2" max="2" width="14.28515625" bestFit="1" customWidth="1"/>
    <col min="3" max="3" width="14.140625" bestFit="1" customWidth="1"/>
    <col min="4" max="4" width="4.28515625" bestFit="1" customWidth="1"/>
    <col min="5" max="5" width="17.28515625" bestFit="1" customWidth="1"/>
    <col min="6" max="6" width="14.7109375" bestFit="1" customWidth="1"/>
    <col min="7" max="8" width="7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tr">
        <f>TEXT(EDATE(DATE(2014, 1, 1), ROW(A1)-1), "mmm yyyy")</f>
        <v>Jan 2014</v>
      </c>
      <c r="G2" s="2">
        <v>0.72</v>
      </c>
      <c r="H2" s="2">
        <v>0.69199999999999995</v>
      </c>
    </row>
    <row r="3" spans="1:8" x14ac:dyDescent="0.25">
      <c r="A3" t="str">
        <f t="shared" ref="A3:A25" si="0">TEXT(EDATE(DATE(2014, 1, 1), ROW(A2)-1), "mmm yyyy")</f>
        <v>Feb 2014</v>
      </c>
      <c r="G3" s="2">
        <v>0.79100000000000004</v>
      </c>
      <c r="H3" s="2">
        <v>0.76300000000000001</v>
      </c>
    </row>
    <row r="4" spans="1:8" x14ac:dyDescent="0.25">
      <c r="A4" t="str">
        <f t="shared" si="0"/>
        <v>Mar 2014</v>
      </c>
      <c r="G4" s="2">
        <v>0.68600000000000005</v>
      </c>
      <c r="H4" s="2">
        <v>0.72399999999999998</v>
      </c>
    </row>
    <row r="5" spans="1:8" x14ac:dyDescent="0.25">
      <c r="A5" t="str">
        <f t="shared" si="0"/>
        <v>Apr 2014</v>
      </c>
      <c r="G5" s="2">
        <v>0.88100000000000001</v>
      </c>
      <c r="H5" s="2">
        <v>0.71699999999999997</v>
      </c>
    </row>
    <row r="6" spans="1:8" x14ac:dyDescent="0.25">
      <c r="A6" t="str">
        <f t="shared" si="0"/>
        <v>May 2014</v>
      </c>
      <c r="G6" s="2">
        <v>0.58399999999999996</v>
      </c>
      <c r="H6" s="2">
        <v>0.73799999999999999</v>
      </c>
    </row>
    <row r="7" spans="1:8" x14ac:dyDescent="0.25">
      <c r="A7" t="str">
        <f t="shared" si="0"/>
        <v>Jun 2014</v>
      </c>
      <c r="G7" s="2">
        <v>0.76900000000000002</v>
      </c>
      <c r="H7" s="2">
        <v>0.752</v>
      </c>
    </row>
    <row r="8" spans="1:8" x14ac:dyDescent="0.25">
      <c r="A8" t="str">
        <f t="shared" si="0"/>
        <v>Jul 2014</v>
      </c>
      <c r="G8" s="2">
        <v>0.94399999999999995</v>
      </c>
      <c r="H8" s="2">
        <v>0.82</v>
      </c>
    </row>
    <row r="9" spans="1:8" x14ac:dyDescent="0.25">
      <c r="A9" t="str">
        <f t="shared" si="0"/>
        <v>Aug 2014</v>
      </c>
      <c r="G9" s="2">
        <v>0.66600000000000004</v>
      </c>
      <c r="H9" s="2">
        <v>0.754</v>
      </c>
    </row>
    <row r="10" spans="1:8" x14ac:dyDescent="0.25">
      <c r="A10" t="str">
        <f t="shared" si="0"/>
        <v>Sep 2014</v>
      </c>
      <c r="G10" s="2">
        <v>0.69799999999999995</v>
      </c>
      <c r="H10" s="2">
        <v>0.80200000000000005</v>
      </c>
    </row>
    <row r="11" spans="1:8" x14ac:dyDescent="0.25">
      <c r="A11" t="str">
        <f t="shared" si="0"/>
        <v>Oct 2014</v>
      </c>
      <c r="G11" s="2">
        <v>0.81899999999999995</v>
      </c>
      <c r="H11" s="2">
        <v>0.65100000000000002</v>
      </c>
    </row>
    <row r="12" spans="1:8" x14ac:dyDescent="0.25">
      <c r="A12" t="str">
        <f t="shared" si="0"/>
        <v>Nov 2014</v>
      </c>
      <c r="G12" s="2">
        <v>0.68799999999999994</v>
      </c>
      <c r="H12" s="2">
        <v>0.68600000000000005</v>
      </c>
    </row>
    <row r="13" spans="1:8" x14ac:dyDescent="0.25">
      <c r="A13" t="str">
        <f t="shared" si="0"/>
        <v>Dec 2014</v>
      </c>
      <c r="G13" s="2">
        <v>0.59399999999999997</v>
      </c>
      <c r="H13" s="2">
        <v>0.82199999999999995</v>
      </c>
    </row>
    <row r="14" spans="1:8" x14ac:dyDescent="0.25">
      <c r="A14" t="str">
        <f t="shared" si="0"/>
        <v>Jan 2015</v>
      </c>
      <c r="G14" s="2">
        <v>0.82799999999999996</v>
      </c>
      <c r="H14" s="2">
        <v>0.69699999999999995</v>
      </c>
    </row>
    <row r="15" spans="1:8" x14ac:dyDescent="0.25">
      <c r="A15" t="str">
        <f t="shared" si="0"/>
        <v>Feb 2015</v>
      </c>
      <c r="G15" s="2">
        <v>0.95699999999999996</v>
      </c>
      <c r="H15" s="2">
        <v>0.57499999999999996</v>
      </c>
    </row>
    <row r="16" spans="1:8" x14ac:dyDescent="0.25">
      <c r="A16" t="str">
        <f t="shared" si="0"/>
        <v>Mar 2015</v>
      </c>
      <c r="G16" s="2">
        <v>0.65300000000000002</v>
      </c>
      <c r="H16" s="2">
        <v>0.71199999999999997</v>
      </c>
    </row>
    <row r="17" spans="1:8" x14ac:dyDescent="0.25">
      <c r="A17" t="str">
        <f t="shared" si="0"/>
        <v>Apr 2015</v>
      </c>
      <c r="G17" s="2">
        <v>0.64300000000000002</v>
      </c>
      <c r="H17" s="2">
        <v>0.65600000000000003</v>
      </c>
    </row>
    <row r="18" spans="1:8" x14ac:dyDescent="0.25">
      <c r="A18" t="str">
        <f t="shared" si="0"/>
        <v>May 2015</v>
      </c>
      <c r="G18" s="2">
        <v>0.82199999999999995</v>
      </c>
      <c r="H18" s="2">
        <v>0.69699999999999995</v>
      </c>
    </row>
    <row r="19" spans="1:8" x14ac:dyDescent="0.25">
      <c r="A19" t="str">
        <f t="shared" si="0"/>
        <v>Jun 2015</v>
      </c>
      <c r="G19" s="2">
        <v>0.91500000000000004</v>
      </c>
      <c r="H19" s="2">
        <v>0.749</v>
      </c>
    </row>
    <row r="20" spans="1:8" x14ac:dyDescent="0.25">
      <c r="A20" t="str">
        <f t="shared" si="0"/>
        <v>Jul 2015</v>
      </c>
      <c r="G20" s="2">
        <v>0.85699999999999998</v>
      </c>
      <c r="H20" s="2">
        <v>0.81399999999999995</v>
      </c>
    </row>
    <row r="21" spans="1:8" x14ac:dyDescent="0.25">
      <c r="A21" t="str">
        <f t="shared" si="0"/>
        <v>Aug 2015</v>
      </c>
      <c r="G21" s="2">
        <v>0.68600000000000005</v>
      </c>
      <c r="H21" s="2">
        <v>0.66800000000000004</v>
      </c>
    </row>
    <row r="22" spans="1:8" x14ac:dyDescent="0.25">
      <c r="A22" t="str">
        <f t="shared" si="0"/>
        <v>Sep 2015</v>
      </c>
      <c r="G22" s="2">
        <v>0.79400000000000004</v>
      </c>
      <c r="H22" s="2">
        <v>0.76200000000000001</v>
      </c>
    </row>
    <row r="23" spans="1:8" x14ac:dyDescent="0.25">
      <c r="A23" t="str">
        <f t="shared" si="0"/>
        <v>Oct 2015</v>
      </c>
      <c r="G23" s="2">
        <v>0.69899999999999995</v>
      </c>
      <c r="H23" s="2">
        <v>0.70099999999999996</v>
      </c>
    </row>
    <row r="24" spans="1:8" x14ac:dyDescent="0.25">
      <c r="A24" t="str">
        <f t="shared" si="0"/>
        <v>Nov 2015</v>
      </c>
      <c r="G24" s="2">
        <v>0.78800000000000003</v>
      </c>
      <c r="H24" s="2">
        <v>0.79100000000000004</v>
      </c>
    </row>
    <row r="25" spans="1:8" x14ac:dyDescent="0.25">
      <c r="A25" t="str">
        <f t="shared" si="0"/>
        <v>Dec 2015</v>
      </c>
      <c r="G25" s="2">
        <v>0.88700000000000001</v>
      </c>
      <c r="H25" s="2">
        <v>0.89200000000000002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H4" sqref="H4"/>
    </sheetView>
  </sheetViews>
  <sheetFormatPr defaultRowHeight="15" x14ac:dyDescent="0.25"/>
  <cols>
    <col min="2" max="2" width="9" bestFit="1" customWidth="1"/>
    <col min="3" max="3" width="6.85546875" bestFit="1" customWidth="1"/>
    <col min="4" max="5" width="5" bestFit="1" customWidth="1"/>
    <col min="6" max="6" width="3.140625" bestFit="1" customWidth="1"/>
    <col min="7" max="7" width="12.7109375" bestFit="1" customWidth="1"/>
    <col min="8" max="8" width="12.42578125" bestFit="1" customWidth="1"/>
  </cols>
  <sheetData>
    <row r="1" spans="1:8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t="s">
        <v>21</v>
      </c>
      <c r="B2" s="2">
        <f>AVERAGE('Call center data'!G2:G25)</f>
        <v>0.76537500000000014</v>
      </c>
      <c r="C2">
        <f>_xlfn.STDEV.S('Call center data'!G2:G25)</f>
        <v>0.10812907443944073</v>
      </c>
      <c r="D2">
        <v>0.85</v>
      </c>
      <c r="E2">
        <v>0.95</v>
      </c>
      <c r="F2">
        <f>(E2-D2)/(6*C2)</f>
        <v>0.15413677360200725</v>
      </c>
      <c r="G2">
        <f>MIN((E2-B2)/(3*C2),(B2-D2)/(3*C2))</f>
        <v>-0.26087648932139684</v>
      </c>
      <c r="H2" t="str">
        <f>IF(G2&gt;=1.33,"Capable",IF(G2&gt;=1,"Marginal","Not Capable"))</f>
        <v>Not Capable</v>
      </c>
    </row>
    <row r="3" spans="1:8" x14ac:dyDescent="0.25">
      <c r="A3" t="s">
        <v>22</v>
      </c>
      <c r="B3" s="2">
        <f xml:space="preserve"> AVERAGE('Call center data'!H2:H25)</f>
        <v>0.73479166666666662</v>
      </c>
      <c r="C3">
        <f xml:space="preserve"> _xlfn.STDEV.S('Call center data'!H2:H25)</f>
        <v>6.8629426548717398E-2</v>
      </c>
      <c r="D3">
        <v>0.9</v>
      </c>
      <c r="E3">
        <v>0.98</v>
      </c>
      <c r="F3">
        <f>(E3-D3)/(6*C3)</f>
        <v>0.19428012157246433</v>
      </c>
      <c r="G3">
        <f>MIN((E3-B3)/(3*C3),(B3-D3)/(3*C3))</f>
        <v>-0.80241737711960592</v>
      </c>
      <c r="H3" t="str">
        <f>IF(G3&gt;=1.33,"Capable",IF(G3&gt;=1,"Marginal","Not Capable"))</f>
        <v>Not Capable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K24" sqref="K24"/>
    </sheetView>
  </sheetViews>
  <sheetFormatPr defaultRowHeight="15" x14ac:dyDescent="0.25"/>
  <cols>
    <col min="2" max="3" width="7" bestFit="1" customWidth="1"/>
    <col min="7" max="7" width="40.42578125" bestFit="1" customWidth="1"/>
  </cols>
  <sheetData>
    <row r="1" spans="1:7" x14ac:dyDescent="0.25">
      <c r="A1" s="1" t="s">
        <v>0</v>
      </c>
      <c r="B1" s="1" t="s">
        <v>6</v>
      </c>
      <c r="C1" s="1" t="s">
        <v>7</v>
      </c>
      <c r="D1" s="1"/>
      <c r="E1" s="1"/>
    </row>
    <row r="2" spans="1:7" x14ac:dyDescent="0.25">
      <c r="A2" t="str">
        <f>TEXT(EDATE(DATE(2014, 1, 1), ROW(A1)-1), "mmm yyyy")</f>
        <v>Jan 2014</v>
      </c>
      <c r="B2" s="2">
        <v>0.72</v>
      </c>
      <c r="C2" s="2">
        <v>0.69199999999999995</v>
      </c>
      <c r="G2" s="1" t="s">
        <v>45</v>
      </c>
    </row>
    <row r="3" spans="1:7" x14ac:dyDescent="0.25">
      <c r="A3" t="str">
        <f t="shared" ref="A3:A25" si="0">TEXT(EDATE(DATE(2014, 1, 1), ROW(A2)-1), "mmm yyyy")</f>
        <v>Feb 2014</v>
      </c>
      <c r="B3" s="2">
        <v>0.79100000000000004</v>
      </c>
      <c r="C3" s="2">
        <v>0.76300000000000001</v>
      </c>
    </row>
    <row r="4" spans="1:7" x14ac:dyDescent="0.25">
      <c r="A4" t="str">
        <f t="shared" si="0"/>
        <v>Mar 2014</v>
      </c>
      <c r="B4" s="2">
        <v>0.68600000000000005</v>
      </c>
      <c r="C4" s="2">
        <v>0.72399999999999998</v>
      </c>
    </row>
    <row r="5" spans="1:7" x14ac:dyDescent="0.25">
      <c r="A5" t="str">
        <f t="shared" si="0"/>
        <v>Apr 2014</v>
      </c>
      <c r="B5" s="2">
        <v>0.88100000000000001</v>
      </c>
      <c r="C5" s="2">
        <v>0.71699999999999997</v>
      </c>
    </row>
    <row r="6" spans="1:7" x14ac:dyDescent="0.25">
      <c r="A6" t="str">
        <f t="shared" si="0"/>
        <v>May 2014</v>
      </c>
      <c r="B6" s="2">
        <v>0.58399999999999996</v>
      </c>
      <c r="C6" s="2">
        <v>0.73799999999999999</v>
      </c>
    </row>
    <row r="7" spans="1:7" x14ac:dyDescent="0.25">
      <c r="A7" t="str">
        <f t="shared" si="0"/>
        <v>Jun 2014</v>
      </c>
      <c r="B7" s="2">
        <v>0.76900000000000002</v>
      </c>
      <c r="C7" s="2">
        <v>0.752</v>
      </c>
    </row>
    <row r="8" spans="1:7" x14ac:dyDescent="0.25">
      <c r="A8" t="str">
        <f t="shared" si="0"/>
        <v>Jul 2014</v>
      </c>
      <c r="B8" s="2">
        <v>0.94399999999999995</v>
      </c>
      <c r="C8" s="2">
        <v>0.82</v>
      </c>
    </row>
    <row r="9" spans="1:7" x14ac:dyDescent="0.25">
      <c r="A9" t="str">
        <f t="shared" si="0"/>
        <v>Aug 2014</v>
      </c>
      <c r="B9" s="2">
        <v>0.66600000000000004</v>
      </c>
      <c r="C9" s="2">
        <v>0.754</v>
      </c>
    </row>
    <row r="10" spans="1:7" x14ac:dyDescent="0.25">
      <c r="A10" t="str">
        <f t="shared" si="0"/>
        <v>Sep 2014</v>
      </c>
      <c r="B10" s="2">
        <v>0.69799999999999995</v>
      </c>
      <c r="C10" s="2">
        <v>0.80200000000000005</v>
      </c>
    </row>
    <row r="11" spans="1:7" x14ac:dyDescent="0.25">
      <c r="A11" t="str">
        <f t="shared" si="0"/>
        <v>Oct 2014</v>
      </c>
      <c r="B11" s="2">
        <v>0.81899999999999995</v>
      </c>
      <c r="C11" s="2">
        <v>0.65100000000000002</v>
      </c>
    </row>
    <row r="12" spans="1:7" x14ac:dyDescent="0.25">
      <c r="A12" t="str">
        <f t="shared" si="0"/>
        <v>Nov 2014</v>
      </c>
      <c r="B12" s="2">
        <v>0.68799999999999994</v>
      </c>
      <c r="C12" s="2">
        <v>0.68600000000000005</v>
      </c>
    </row>
    <row r="13" spans="1:7" x14ac:dyDescent="0.25">
      <c r="A13" t="str">
        <f t="shared" si="0"/>
        <v>Dec 2014</v>
      </c>
      <c r="B13" s="2">
        <v>0.59399999999999997</v>
      </c>
      <c r="C13" s="2">
        <v>0.82199999999999995</v>
      </c>
    </row>
    <row r="14" spans="1:7" x14ac:dyDescent="0.25">
      <c r="A14" t="str">
        <f t="shared" si="0"/>
        <v>Jan 2015</v>
      </c>
      <c r="B14" s="2">
        <v>0.82799999999999996</v>
      </c>
      <c r="C14" s="2">
        <v>0.69699999999999995</v>
      </c>
    </row>
    <row r="15" spans="1:7" x14ac:dyDescent="0.25">
      <c r="A15" t="str">
        <f t="shared" si="0"/>
        <v>Feb 2015</v>
      </c>
      <c r="B15" s="2">
        <v>0.95699999999999996</v>
      </c>
      <c r="C15" s="2">
        <v>0.57499999999999996</v>
      </c>
    </row>
    <row r="16" spans="1:7" x14ac:dyDescent="0.25">
      <c r="A16" t="str">
        <f t="shared" si="0"/>
        <v>Mar 2015</v>
      </c>
      <c r="B16" s="2">
        <v>0.65300000000000002</v>
      </c>
      <c r="C16" s="2">
        <v>0.71199999999999997</v>
      </c>
    </row>
    <row r="17" spans="1:3" x14ac:dyDescent="0.25">
      <c r="A17" t="str">
        <f t="shared" si="0"/>
        <v>Apr 2015</v>
      </c>
      <c r="B17" s="2">
        <v>0.64300000000000002</v>
      </c>
      <c r="C17" s="2">
        <v>0.65600000000000003</v>
      </c>
    </row>
    <row r="18" spans="1:3" x14ac:dyDescent="0.25">
      <c r="A18" t="str">
        <f t="shared" si="0"/>
        <v>May 2015</v>
      </c>
      <c r="B18" s="2">
        <v>0.82199999999999995</v>
      </c>
      <c r="C18" s="2">
        <v>0.69699999999999995</v>
      </c>
    </row>
    <row r="19" spans="1:3" x14ac:dyDescent="0.25">
      <c r="A19" t="str">
        <f t="shared" si="0"/>
        <v>Jun 2015</v>
      </c>
      <c r="B19" s="2">
        <v>0.91500000000000004</v>
      </c>
      <c r="C19" s="2">
        <v>0.749</v>
      </c>
    </row>
    <row r="20" spans="1:3" x14ac:dyDescent="0.25">
      <c r="A20" t="str">
        <f t="shared" si="0"/>
        <v>Jul 2015</v>
      </c>
      <c r="B20" s="2">
        <v>0.85699999999999998</v>
      </c>
      <c r="C20" s="2">
        <v>0.81399999999999995</v>
      </c>
    </row>
    <row r="21" spans="1:3" x14ac:dyDescent="0.25">
      <c r="A21" t="str">
        <f t="shared" si="0"/>
        <v>Aug 2015</v>
      </c>
      <c r="B21" s="2">
        <v>0.68600000000000005</v>
      </c>
      <c r="C21" s="2">
        <v>0.66800000000000004</v>
      </c>
    </row>
    <row r="22" spans="1:3" x14ac:dyDescent="0.25">
      <c r="A22" t="str">
        <f t="shared" si="0"/>
        <v>Sep 2015</v>
      </c>
      <c r="B22" s="2">
        <v>0.79400000000000004</v>
      </c>
      <c r="C22" s="2">
        <v>0.76200000000000001</v>
      </c>
    </row>
    <row r="23" spans="1:3" x14ac:dyDescent="0.25">
      <c r="A23" t="str">
        <f t="shared" si="0"/>
        <v>Oct 2015</v>
      </c>
      <c r="B23" s="2">
        <v>0.69899999999999995</v>
      </c>
      <c r="C23" s="2">
        <v>0.70099999999999996</v>
      </c>
    </row>
    <row r="24" spans="1:3" x14ac:dyDescent="0.25">
      <c r="A24" t="str">
        <f t="shared" si="0"/>
        <v>Nov 2015</v>
      </c>
      <c r="B24" s="2">
        <v>0.78800000000000003</v>
      </c>
      <c r="C24" s="2">
        <v>0.79100000000000004</v>
      </c>
    </row>
    <row r="25" spans="1:3" x14ac:dyDescent="0.25">
      <c r="A25" t="str">
        <f t="shared" si="0"/>
        <v>Dec 2015</v>
      </c>
      <c r="B25" s="2">
        <v>0.88700000000000001</v>
      </c>
      <c r="C25" s="2">
        <v>0.89200000000000002</v>
      </c>
    </row>
    <row r="26" spans="1:3" x14ac:dyDescent="0.25">
      <c r="A26" s="1" t="s">
        <v>16</v>
      </c>
      <c r="B26" s="2">
        <v>0.75</v>
      </c>
    </row>
    <row r="27" spans="1:3" x14ac:dyDescent="0.25">
      <c r="A27" s="1" t="s">
        <v>17</v>
      </c>
      <c r="B27" s="2">
        <v>0.95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topLeftCell="A10" workbookViewId="0">
      <selection activeCell="J31" sqref="J31"/>
    </sheetView>
  </sheetViews>
  <sheetFormatPr defaultRowHeight="15" x14ac:dyDescent="0.25"/>
  <cols>
    <col min="1" max="1" width="22.140625" bestFit="1" customWidth="1"/>
    <col min="2" max="2" width="12" bestFit="1" customWidth="1"/>
    <col min="4" max="5" width="11.140625" bestFit="1" customWidth="1"/>
    <col min="6" max="6" width="10.28515625" bestFit="1" customWidth="1"/>
    <col min="7" max="7" width="9.140625" bestFit="1" customWidth="1"/>
    <col min="8" max="8" width="8.7109375" bestFit="1" customWidth="1"/>
    <col min="9" max="9" width="10.7109375" bestFit="1" customWidth="1"/>
    <col min="12" max="12" width="12.28515625" bestFit="1" customWidth="1"/>
    <col min="13" max="13" width="15.140625" bestFit="1" customWidth="1"/>
    <col min="14" max="14" width="18.28515625" bestFit="1" customWidth="1"/>
  </cols>
  <sheetData>
    <row r="1" spans="1:14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39</v>
      </c>
      <c r="L1" s="1" t="s">
        <v>40</v>
      </c>
      <c r="M1" s="1" t="s">
        <v>41</v>
      </c>
      <c r="N1" s="1" t="s">
        <v>42</v>
      </c>
    </row>
    <row r="2" spans="1:14" x14ac:dyDescent="0.25">
      <c r="A2">
        <f>ROW(A1)</f>
        <v>1</v>
      </c>
      <c r="B2">
        <v>2</v>
      </c>
      <c r="C2">
        <v>2</v>
      </c>
      <c r="D2">
        <v>3</v>
      </c>
      <c r="E2">
        <v>3</v>
      </c>
      <c r="F2">
        <f>AVERAGE(B2:E2)</f>
        <v>2.5</v>
      </c>
      <c r="G2">
        <f>MAX(B2:E2)</f>
        <v>3</v>
      </c>
      <c r="H2">
        <f>MIN(B2:E2)</f>
        <v>2</v>
      </c>
      <c r="I2">
        <f>G2-H2</f>
        <v>1</v>
      </c>
      <c r="J2">
        <f>_xlfn.STDEV.P(B2:E2)</f>
        <v>0.5</v>
      </c>
      <c r="K2">
        <f>AVERAGE(B2:E2)</f>
        <v>2.5</v>
      </c>
      <c r="L2">
        <f>AVERAGE(B2:E2)</f>
        <v>2.5</v>
      </c>
      <c r="M2">
        <f>IF(K2=L2,1,0)</f>
        <v>1</v>
      </c>
      <c r="N2">
        <f>IF(ABS(K2-L2)&lt;=1,1,0)</f>
        <v>1</v>
      </c>
    </row>
    <row r="3" spans="1:14" x14ac:dyDescent="0.25">
      <c r="A3">
        <f t="shared" ref="A3:A20" si="0">ROW(A2)</f>
        <v>2</v>
      </c>
      <c r="B3">
        <v>2</v>
      </c>
      <c r="C3">
        <v>2</v>
      </c>
      <c r="D3">
        <v>2</v>
      </c>
      <c r="E3">
        <v>2</v>
      </c>
      <c r="F3">
        <f t="shared" ref="F3:F21" si="1">AVERAGE(B3:E3)</f>
        <v>2</v>
      </c>
      <c r="G3">
        <f t="shared" ref="G3:G21" si="2">MAX(B3:E3)</f>
        <v>2</v>
      </c>
      <c r="H3">
        <f t="shared" ref="H3:H21" si="3">MIN(B3:E3)</f>
        <v>2</v>
      </c>
      <c r="I3">
        <f t="shared" ref="I3:I21" si="4">G3-H3</f>
        <v>0</v>
      </c>
      <c r="J3">
        <f t="shared" ref="J3:J21" si="5">_xlfn.STDEV.P(B3:E3)</f>
        <v>0</v>
      </c>
      <c r="K3">
        <f t="shared" ref="K3:K21" si="6">AVERAGE(B3:E3)</f>
        <v>2</v>
      </c>
      <c r="L3">
        <f t="shared" ref="L3:L21" si="7">AVERAGE(B3:E3)</f>
        <v>2</v>
      </c>
      <c r="M3">
        <f t="shared" ref="M3:M21" si="8">IF(K3=L3,1,0)</f>
        <v>1</v>
      </c>
      <c r="N3">
        <f t="shared" ref="N3:N21" si="9">IF(ABS(K3-L3)&lt;=1,1,0)</f>
        <v>1</v>
      </c>
    </row>
    <row r="4" spans="1:14" x14ac:dyDescent="0.25">
      <c r="A4">
        <f t="shared" si="0"/>
        <v>3</v>
      </c>
      <c r="B4">
        <v>2</v>
      </c>
      <c r="C4">
        <v>2</v>
      </c>
      <c r="D4">
        <v>2</v>
      </c>
      <c r="E4">
        <v>2</v>
      </c>
      <c r="F4">
        <f t="shared" si="1"/>
        <v>2</v>
      </c>
      <c r="G4">
        <f t="shared" si="2"/>
        <v>2</v>
      </c>
      <c r="H4">
        <f t="shared" si="3"/>
        <v>2</v>
      </c>
      <c r="I4">
        <f t="shared" si="4"/>
        <v>0</v>
      </c>
      <c r="J4">
        <f t="shared" si="5"/>
        <v>0</v>
      </c>
      <c r="K4">
        <f t="shared" si="6"/>
        <v>2</v>
      </c>
      <c r="L4">
        <f t="shared" si="7"/>
        <v>2</v>
      </c>
      <c r="M4">
        <f t="shared" si="8"/>
        <v>1</v>
      </c>
      <c r="N4">
        <f t="shared" si="9"/>
        <v>1</v>
      </c>
    </row>
    <row r="5" spans="1:14" x14ac:dyDescent="0.25">
      <c r="A5">
        <f t="shared" si="0"/>
        <v>4</v>
      </c>
      <c r="B5">
        <v>3</v>
      </c>
      <c r="C5">
        <v>3</v>
      </c>
      <c r="D5">
        <v>4</v>
      </c>
      <c r="E5">
        <v>4</v>
      </c>
      <c r="F5">
        <f t="shared" si="1"/>
        <v>3.5</v>
      </c>
      <c r="G5">
        <f t="shared" si="2"/>
        <v>4</v>
      </c>
      <c r="H5">
        <f t="shared" si="3"/>
        <v>3</v>
      </c>
      <c r="I5">
        <f t="shared" si="4"/>
        <v>1</v>
      </c>
      <c r="J5">
        <f t="shared" si="5"/>
        <v>0.5</v>
      </c>
      <c r="K5">
        <f t="shared" si="6"/>
        <v>3.5</v>
      </c>
      <c r="L5">
        <f t="shared" si="7"/>
        <v>3.5</v>
      </c>
      <c r="M5">
        <f t="shared" si="8"/>
        <v>1</v>
      </c>
      <c r="N5">
        <f t="shared" si="9"/>
        <v>1</v>
      </c>
    </row>
    <row r="6" spans="1:14" x14ac:dyDescent="0.25">
      <c r="A6">
        <f t="shared" si="0"/>
        <v>5</v>
      </c>
      <c r="B6">
        <v>1</v>
      </c>
      <c r="C6">
        <v>1</v>
      </c>
      <c r="D6">
        <v>1</v>
      </c>
      <c r="E6">
        <v>1</v>
      </c>
      <c r="F6">
        <f t="shared" si="1"/>
        <v>1</v>
      </c>
      <c r="G6">
        <f t="shared" si="2"/>
        <v>1</v>
      </c>
      <c r="H6">
        <f t="shared" si="3"/>
        <v>1</v>
      </c>
      <c r="I6">
        <f t="shared" si="4"/>
        <v>0</v>
      </c>
      <c r="J6">
        <f t="shared" si="5"/>
        <v>0</v>
      </c>
      <c r="K6">
        <f t="shared" si="6"/>
        <v>1</v>
      </c>
      <c r="L6">
        <f t="shared" si="7"/>
        <v>1</v>
      </c>
      <c r="M6">
        <f t="shared" si="8"/>
        <v>1</v>
      </c>
      <c r="N6">
        <f t="shared" si="9"/>
        <v>1</v>
      </c>
    </row>
    <row r="7" spans="1:14" x14ac:dyDescent="0.25">
      <c r="A7">
        <f t="shared" si="0"/>
        <v>6</v>
      </c>
      <c r="B7">
        <v>4</v>
      </c>
      <c r="C7">
        <v>4</v>
      </c>
      <c r="D7">
        <v>5</v>
      </c>
      <c r="E7">
        <v>5</v>
      </c>
      <c r="F7">
        <f t="shared" si="1"/>
        <v>4.5</v>
      </c>
      <c r="G7">
        <f t="shared" si="2"/>
        <v>5</v>
      </c>
      <c r="H7">
        <f t="shared" si="3"/>
        <v>4</v>
      </c>
      <c r="I7">
        <f t="shared" si="4"/>
        <v>1</v>
      </c>
      <c r="J7">
        <f t="shared" si="5"/>
        <v>0.5</v>
      </c>
      <c r="K7">
        <f t="shared" si="6"/>
        <v>4.5</v>
      </c>
      <c r="L7">
        <f t="shared" si="7"/>
        <v>4.5</v>
      </c>
      <c r="M7">
        <f t="shared" si="8"/>
        <v>1</v>
      </c>
      <c r="N7">
        <f t="shared" si="9"/>
        <v>1</v>
      </c>
    </row>
    <row r="8" spans="1:14" x14ac:dyDescent="0.25">
      <c r="A8">
        <f t="shared" si="0"/>
        <v>7</v>
      </c>
      <c r="B8">
        <v>4</v>
      </c>
      <c r="C8">
        <v>4</v>
      </c>
      <c r="D8">
        <v>5</v>
      </c>
      <c r="E8">
        <v>4</v>
      </c>
      <c r="F8">
        <f t="shared" si="1"/>
        <v>4.25</v>
      </c>
      <c r="G8">
        <f t="shared" si="2"/>
        <v>5</v>
      </c>
      <c r="H8">
        <f t="shared" si="3"/>
        <v>4</v>
      </c>
      <c r="I8">
        <f t="shared" si="4"/>
        <v>1</v>
      </c>
      <c r="J8">
        <f t="shared" si="5"/>
        <v>0.4330127018922193</v>
      </c>
      <c r="K8">
        <f t="shared" si="6"/>
        <v>4.25</v>
      </c>
      <c r="L8">
        <f t="shared" si="7"/>
        <v>4.25</v>
      </c>
      <c r="M8">
        <f t="shared" si="8"/>
        <v>1</v>
      </c>
      <c r="N8">
        <f t="shared" si="9"/>
        <v>1</v>
      </c>
    </row>
    <row r="9" spans="1:14" x14ac:dyDescent="0.25">
      <c r="A9">
        <f t="shared" si="0"/>
        <v>8</v>
      </c>
      <c r="B9">
        <v>2</v>
      </c>
      <c r="C9">
        <v>2</v>
      </c>
      <c r="D9">
        <v>3</v>
      </c>
      <c r="E9">
        <v>3</v>
      </c>
      <c r="F9">
        <f t="shared" si="1"/>
        <v>2.5</v>
      </c>
      <c r="G9">
        <f t="shared" si="2"/>
        <v>3</v>
      </c>
      <c r="H9">
        <f t="shared" si="3"/>
        <v>2</v>
      </c>
      <c r="I9">
        <f t="shared" si="4"/>
        <v>1</v>
      </c>
      <c r="J9">
        <f t="shared" si="5"/>
        <v>0.5</v>
      </c>
      <c r="K9">
        <f t="shared" si="6"/>
        <v>2.5</v>
      </c>
      <c r="L9">
        <f t="shared" si="7"/>
        <v>2.5</v>
      </c>
      <c r="M9">
        <f t="shared" si="8"/>
        <v>1</v>
      </c>
      <c r="N9">
        <f t="shared" si="9"/>
        <v>1</v>
      </c>
    </row>
    <row r="10" spans="1:14" x14ac:dyDescent="0.25">
      <c r="A10">
        <f t="shared" si="0"/>
        <v>9</v>
      </c>
      <c r="B10">
        <v>3</v>
      </c>
      <c r="C10">
        <v>3</v>
      </c>
      <c r="D10">
        <v>3</v>
      </c>
      <c r="E10">
        <v>3</v>
      </c>
      <c r="F10">
        <f t="shared" si="1"/>
        <v>3</v>
      </c>
      <c r="G10">
        <f t="shared" si="2"/>
        <v>3</v>
      </c>
      <c r="H10">
        <f t="shared" si="3"/>
        <v>3</v>
      </c>
      <c r="I10">
        <f t="shared" si="4"/>
        <v>0</v>
      </c>
      <c r="J10">
        <f t="shared" si="5"/>
        <v>0</v>
      </c>
      <c r="K10">
        <f t="shared" si="6"/>
        <v>3</v>
      </c>
      <c r="L10">
        <f t="shared" si="7"/>
        <v>3</v>
      </c>
      <c r="M10">
        <f t="shared" si="8"/>
        <v>1</v>
      </c>
      <c r="N10">
        <f t="shared" si="9"/>
        <v>1</v>
      </c>
    </row>
    <row r="11" spans="1:14" x14ac:dyDescent="0.25">
      <c r="A11">
        <f t="shared" si="0"/>
        <v>10</v>
      </c>
      <c r="B11">
        <v>5</v>
      </c>
      <c r="C11">
        <v>5</v>
      </c>
      <c r="D11">
        <v>4</v>
      </c>
      <c r="E11">
        <v>4</v>
      </c>
      <c r="F11">
        <f t="shared" si="1"/>
        <v>4.5</v>
      </c>
      <c r="G11">
        <f t="shared" si="2"/>
        <v>5</v>
      </c>
      <c r="H11">
        <f t="shared" si="3"/>
        <v>4</v>
      </c>
      <c r="I11">
        <f t="shared" si="4"/>
        <v>1</v>
      </c>
      <c r="J11">
        <f t="shared" si="5"/>
        <v>0.5</v>
      </c>
      <c r="K11">
        <f t="shared" si="6"/>
        <v>4.5</v>
      </c>
      <c r="L11">
        <f t="shared" si="7"/>
        <v>4.5</v>
      </c>
      <c r="M11">
        <f t="shared" si="8"/>
        <v>1</v>
      </c>
      <c r="N11">
        <f t="shared" si="9"/>
        <v>1</v>
      </c>
    </row>
    <row r="12" spans="1:14" x14ac:dyDescent="0.25">
      <c r="A12">
        <f t="shared" si="0"/>
        <v>11</v>
      </c>
      <c r="B12">
        <v>1</v>
      </c>
      <c r="C12">
        <v>1</v>
      </c>
      <c r="D12">
        <v>2</v>
      </c>
      <c r="E12">
        <v>2</v>
      </c>
      <c r="F12">
        <f t="shared" si="1"/>
        <v>1.5</v>
      </c>
      <c r="G12">
        <f t="shared" si="2"/>
        <v>2</v>
      </c>
      <c r="H12">
        <f t="shared" si="3"/>
        <v>1</v>
      </c>
      <c r="I12">
        <f t="shared" si="4"/>
        <v>1</v>
      </c>
      <c r="J12">
        <f t="shared" si="5"/>
        <v>0.5</v>
      </c>
      <c r="K12">
        <f t="shared" si="6"/>
        <v>1.5</v>
      </c>
      <c r="L12">
        <f t="shared" si="7"/>
        <v>1.5</v>
      </c>
      <c r="M12">
        <f t="shared" si="8"/>
        <v>1</v>
      </c>
      <c r="N12">
        <f t="shared" si="9"/>
        <v>1</v>
      </c>
    </row>
    <row r="13" spans="1:14" x14ac:dyDescent="0.25">
      <c r="A13">
        <f t="shared" si="0"/>
        <v>12</v>
      </c>
      <c r="B13">
        <v>3</v>
      </c>
      <c r="C13">
        <v>3</v>
      </c>
      <c r="D13">
        <v>3</v>
      </c>
      <c r="E13">
        <v>3</v>
      </c>
      <c r="F13">
        <f t="shared" si="1"/>
        <v>3</v>
      </c>
      <c r="G13">
        <f t="shared" si="2"/>
        <v>3</v>
      </c>
      <c r="H13">
        <f t="shared" si="3"/>
        <v>3</v>
      </c>
      <c r="I13">
        <f t="shared" si="4"/>
        <v>0</v>
      </c>
      <c r="J13">
        <f t="shared" si="5"/>
        <v>0</v>
      </c>
      <c r="K13">
        <f t="shared" si="6"/>
        <v>3</v>
      </c>
      <c r="L13">
        <f t="shared" si="7"/>
        <v>3</v>
      </c>
      <c r="M13">
        <f t="shared" si="8"/>
        <v>1</v>
      </c>
      <c r="N13">
        <f t="shared" si="9"/>
        <v>1</v>
      </c>
    </row>
    <row r="14" spans="1:14" x14ac:dyDescent="0.25">
      <c r="A14">
        <f t="shared" si="0"/>
        <v>13</v>
      </c>
      <c r="B14">
        <v>4</v>
      </c>
      <c r="C14">
        <v>4</v>
      </c>
      <c r="D14">
        <v>5</v>
      </c>
      <c r="E14">
        <v>5</v>
      </c>
      <c r="F14">
        <f t="shared" si="1"/>
        <v>4.5</v>
      </c>
      <c r="G14">
        <f t="shared" si="2"/>
        <v>5</v>
      </c>
      <c r="H14">
        <f t="shared" si="3"/>
        <v>4</v>
      </c>
      <c r="I14">
        <f t="shared" si="4"/>
        <v>1</v>
      </c>
      <c r="J14">
        <f t="shared" si="5"/>
        <v>0.5</v>
      </c>
      <c r="K14">
        <f t="shared" si="6"/>
        <v>4.5</v>
      </c>
      <c r="L14">
        <f t="shared" si="7"/>
        <v>4.5</v>
      </c>
      <c r="M14">
        <f t="shared" si="8"/>
        <v>1</v>
      </c>
      <c r="N14">
        <f t="shared" si="9"/>
        <v>1</v>
      </c>
    </row>
    <row r="15" spans="1:14" x14ac:dyDescent="0.25">
      <c r="A15">
        <f t="shared" si="0"/>
        <v>14</v>
      </c>
      <c r="B15">
        <v>2</v>
      </c>
      <c r="C15">
        <v>2</v>
      </c>
      <c r="D15">
        <v>2</v>
      </c>
      <c r="E15">
        <v>2</v>
      </c>
      <c r="F15">
        <f t="shared" si="1"/>
        <v>2</v>
      </c>
      <c r="G15">
        <f t="shared" si="2"/>
        <v>2</v>
      </c>
      <c r="H15">
        <f t="shared" si="3"/>
        <v>2</v>
      </c>
      <c r="I15">
        <f t="shared" si="4"/>
        <v>0</v>
      </c>
      <c r="J15">
        <f t="shared" si="5"/>
        <v>0</v>
      </c>
      <c r="K15">
        <f t="shared" si="6"/>
        <v>2</v>
      </c>
      <c r="L15">
        <f t="shared" si="7"/>
        <v>2</v>
      </c>
      <c r="M15">
        <f t="shared" si="8"/>
        <v>1</v>
      </c>
      <c r="N15">
        <f t="shared" si="9"/>
        <v>1</v>
      </c>
    </row>
    <row r="16" spans="1:14" x14ac:dyDescent="0.25">
      <c r="A16">
        <f t="shared" si="0"/>
        <v>15</v>
      </c>
      <c r="B16">
        <v>2</v>
      </c>
      <c r="C16">
        <v>2</v>
      </c>
      <c r="D16">
        <v>2</v>
      </c>
      <c r="E16">
        <v>2</v>
      </c>
      <c r="F16">
        <f t="shared" si="1"/>
        <v>2</v>
      </c>
      <c r="G16">
        <f t="shared" si="2"/>
        <v>2</v>
      </c>
      <c r="H16">
        <f t="shared" si="3"/>
        <v>2</v>
      </c>
      <c r="I16">
        <f t="shared" si="4"/>
        <v>0</v>
      </c>
      <c r="J16">
        <f t="shared" si="5"/>
        <v>0</v>
      </c>
      <c r="K16">
        <f t="shared" si="6"/>
        <v>2</v>
      </c>
      <c r="L16">
        <f t="shared" si="7"/>
        <v>2</v>
      </c>
      <c r="M16">
        <f t="shared" si="8"/>
        <v>1</v>
      </c>
      <c r="N16">
        <f t="shared" si="9"/>
        <v>1</v>
      </c>
    </row>
    <row r="17" spans="1:14" x14ac:dyDescent="0.25">
      <c r="A17">
        <f t="shared" si="0"/>
        <v>16</v>
      </c>
      <c r="B17">
        <v>2</v>
      </c>
      <c r="C17">
        <v>2</v>
      </c>
      <c r="D17">
        <v>2</v>
      </c>
      <c r="E17">
        <v>2</v>
      </c>
      <c r="F17">
        <f t="shared" si="1"/>
        <v>2</v>
      </c>
      <c r="G17">
        <f t="shared" si="2"/>
        <v>2</v>
      </c>
      <c r="H17">
        <f t="shared" si="3"/>
        <v>2</v>
      </c>
      <c r="I17">
        <f t="shared" si="4"/>
        <v>0</v>
      </c>
      <c r="J17">
        <f t="shared" si="5"/>
        <v>0</v>
      </c>
      <c r="K17">
        <f t="shared" si="6"/>
        <v>2</v>
      </c>
      <c r="L17">
        <f t="shared" si="7"/>
        <v>2</v>
      </c>
      <c r="M17">
        <f t="shared" si="8"/>
        <v>1</v>
      </c>
      <c r="N17">
        <f t="shared" si="9"/>
        <v>1</v>
      </c>
    </row>
    <row r="18" spans="1:14" x14ac:dyDescent="0.25">
      <c r="A18">
        <f t="shared" si="0"/>
        <v>17</v>
      </c>
      <c r="B18">
        <v>2</v>
      </c>
      <c r="C18">
        <v>2</v>
      </c>
      <c r="D18">
        <v>2</v>
      </c>
      <c r="E18">
        <v>2</v>
      </c>
      <c r="F18">
        <f t="shared" si="1"/>
        <v>2</v>
      </c>
      <c r="G18">
        <f t="shared" si="2"/>
        <v>2</v>
      </c>
      <c r="H18">
        <f t="shared" si="3"/>
        <v>2</v>
      </c>
      <c r="I18">
        <f t="shared" si="4"/>
        <v>0</v>
      </c>
      <c r="J18">
        <f t="shared" si="5"/>
        <v>0</v>
      </c>
      <c r="K18">
        <f t="shared" si="6"/>
        <v>2</v>
      </c>
      <c r="L18">
        <f t="shared" si="7"/>
        <v>2</v>
      </c>
      <c r="M18">
        <f t="shared" si="8"/>
        <v>1</v>
      </c>
      <c r="N18">
        <f t="shared" si="9"/>
        <v>1</v>
      </c>
    </row>
    <row r="19" spans="1:14" x14ac:dyDescent="0.25">
      <c r="A19">
        <f t="shared" si="0"/>
        <v>18</v>
      </c>
      <c r="B19">
        <v>3</v>
      </c>
      <c r="C19">
        <v>3</v>
      </c>
      <c r="D19">
        <v>4</v>
      </c>
      <c r="E19">
        <v>3</v>
      </c>
      <c r="F19">
        <f t="shared" si="1"/>
        <v>3.25</v>
      </c>
      <c r="G19">
        <f t="shared" si="2"/>
        <v>4</v>
      </c>
      <c r="H19">
        <f t="shared" si="3"/>
        <v>3</v>
      </c>
      <c r="I19">
        <f t="shared" si="4"/>
        <v>1</v>
      </c>
      <c r="J19">
        <f t="shared" si="5"/>
        <v>0.4330127018922193</v>
      </c>
      <c r="K19">
        <f t="shared" si="6"/>
        <v>3.25</v>
      </c>
      <c r="L19">
        <f t="shared" si="7"/>
        <v>3.25</v>
      </c>
      <c r="M19">
        <f t="shared" si="8"/>
        <v>1</v>
      </c>
      <c r="N19">
        <f t="shared" si="9"/>
        <v>1</v>
      </c>
    </row>
    <row r="20" spans="1:14" x14ac:dyDescent="0.25">
      <c r="A20">
        <f t="shared" si="0"/>
        <v>19</v>
      </c>
      <c r="B20">
        <v>3</v>
      </c>
      <c r="C20">
        <v>3</v>
      </c>
      <c r="D20">
        <v>3</v>
      </c>
      <c r="E20">
        <v>3</v>
      </c>
      <c r="F20">
        <f t="shared" si="1"/>
        <v>3</v>
      </c>
      <c r="G20">
        <f t="shared" si="2"/>
        <v>3</v>
      </c>
      <c r="H20">
        <f t="shared" si="3"/>
        <v>3</v>
      </c>
      <c r="I20">
        <f t="shared" si="4"/>
        <v>0</v>
      </c>
      <c r="J20">
        <f t="shared" si="5"/>
        <v>0</v>
      </c>
      <c r="K20">
        <f t="shared" si="6"/>
        <v>3</v>
      </c>
      <c r="L20">
        <f t="shared" si="7"/>
        <v>3</v>
      </c>
      <c r="M20">
        <f t="shared" si="8"/>
        <v>1</v>
      </c>
      <c r="N20">
        <f t="shared" si="9"/>
        <v>1</v>
      </c>
    </row>
    <row r="21" spans="1:14" x14ac:dyDescent="0.25">
      <c r="A21">
        <f>ROW(A20)</f>
        <v>20</v>
      </c>
      <c r="B21">
        <v>2</v>
      </c>
      <c r="C21">
        <v>2</v>
      </c>
      <c r="D21">
        <v>2</v>
      </c>
      <c r="E21">
        <v>2</v>
      </c>
      <c r="F21">
        <f t="shared" si="1"/>
        <v>2</v>
      </c>
      <c r="G21">
        <f t="shared" si="2"/>
        <v>2</v>
      </c>
      <c r="H21">
        <f t="shared" si="3"/>
        <v>2</v>
      </c>
      <c r="I21">
        <f t="shared" si="4"/>
        <v>0</v>
      </c>
      <c r="J21">
        <f t="shared" si="5"/>
        <v>0</v>
      </c>
      <c r="K21">
        <f t="shared" si="6"/>
        <v>2</v>
      </c>
      <c r="L21">
        <f t="shared" si="7"/>
        <v>2</v>
      </c>
      <c r="M21">
        <f t="shared" si="8"/>
        <v>1</v>
      </c>
      <c r="N21">
        <f t="shared" si="9"/>
        <v>1</v>
      </c>
    </row>
    <row r="22" spans="1:14" s="1" customFormat="1" x14ac:dyDescent="0.25">
      <c r="A22" s="1" t="s">
        <v>34</v>
      </c>
      <c r="B22" s="1" t="s">
        <v>24</v>
      </c>
      <c r="C22" s="1" t="s">
        <v>25</v>
      </c>
      <c r="D22" s="1" t="s">
        <v>26</v>
      </c>
      <c r="E22" s="1" t="s">
        <v>27</v>
      </c>
    </row>
    <row r="23" spans="1:14" x14ac:dyDescent="0.25">
      <c r="A23" s="1" t="s">
        <v>14</v>
      </c>
      <c r="B23">
        <f>AVERAGE(B2:B21)</f>
        <v>2.6</v>
      </c>
      <c r="C23">
        <f>AVERAGE(C2:C21)</f>
        <v>2.6</v>
      </c>
      <c r="D23">
        <f>AVERAGE(D2:D21)</f>
        <v>2.95</v>
      </c>
      <c r="E23">
        <f>AVERAGE(E2:E21)</f>
        <v>2.85</v>
      </c>
    </row>
    <row r="24" spans="1:14" x14ac:dyDescent="0.25">
      <c r="A24" s="1" t="s">
        <v>35</v>
      </c>
      <c r="B24">
        <f>_xlfn.STDEV.P(B2:B21)</f>
        <v>1.019803902718557</v>
      </c>
      <c r="C24">
        <f>_xlfn.STDEV.P(C2:C21)</f>
        <v>1.019803902718557</v>
      </c>
      <c r="D24">
        <f>_xlfn.STDEV.P(D2:D21)</f>
        <v>1.16081867662439</v>
      </c>
      <c r="E24">
        <f>_xlfn.STDEV.P(E2:E21)</f>
        <v>1.0618380290797651</v>
      </c>
    </row>
    <row r="25" spans="1:14" ht="15.75" thickBot="1" x14ac:dyDescent="0.3"/>
    <row r="26" spans="1:14" ht="30" x14ac:dyDescent="0.25">
      <c r="A26" s="3" t="s">
        <v>37</v>
      </c>
      <c r="B26" s="4">
        <f>AVERAGE(_xlfn.STDEV.P(B2:C21), _xlfn.STDEV.P(D2:E21))</f>
        <v>1.0666783876422807</v>
      </c>
    </row>
    <row r="27" spans="1:14" x14ac:dyDescent="0.25">
      <c r="A27" s="5" t="s">
        <v>36</v>
      </c>
      <c r="B27" s="6">
        <f>_xlfn.STDEV.P(F2:F21)</f>
        <v>1.0277402395547233</v>
      </c>
    </row>
    <row r="28" spans="1:14" ht="15.75" thickBot="1" x14ac:dyDescent="0.3">
      <c r="A28" s="7" t="s">
        <v>38</v>
      </c>
      <c r="B28" s="8">
        <f>SQRT(B26^2 + B27^2)</f>
        <v>1.4812335341407632</v>
      </c>
    </row>
    <row r="30" spans="1:14" x14ac:dyDescent="0.25">
      <c r="A30" s="1" t="s">
        <v>20</v>
      </c>
      <c r="B30" t="str">
        <f>IF(B28&lt;0.1,"Excellent (&lt;10%)",IF(B28&lt;0.3,"Acceptable (10–30%)","Poor (&gt;30%)"))</f>
        <v>Poor (&gt;30%)</v>
      </c>
    </row>
    <row r="32" spans="1:14" x14ac:dyDescent="0.25">
      <c r="A32" s="1" t="s">
        <v>43</v>
      </c>
      <c r="B32">
        <f>SUM(M2:M21)/COUNTA(A2:A21)*100</f>
        <v>100</v>
      </c>
    </row>
    <row r="33" spans="1:2" x14ac:dyDescent="0.25">
      <c r="A33" s="1" t="s">
        <v>44</v>
      </c>
      <c r="B33">
        <f>SUM(N2:N21)/COUNTA(A2:A21)*100</f>
        <v>100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C30" sqref="C30"/>
    </sheetView>
  </sheetViews>
  <sheetFormatPr defaultRowHeight="15" x14ac:dyDescent="0.25"/>
  <cols>
    <col min="1" max="1" width="11.85546875" bestFit="1" customWidth="1"/>
    <col min="2" max="2" width="15" bestFit="1" customWidth="1"/>
    <col min="3" max="3" width="10.28515625" bestFit="1" customWidth="1"/>
    <col min="4" max="4" width="9.5703125" bestFit="1" customWidth="1"/>
    <col min="5" max="6" width="13.28515625" bestFit="1" customWidth="1"/>
    <col min="7" max="7" width="7.7109375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33</v>
      </c>
      <c r="E1" t="s">
        <v>11</v>
      </c>
      <c r="F1" t="s">
        <v>12</v>
      </c>
    </row>
    <row r="2" spans="1:6" x14ac:dyDescent="0.25">
      <c r="A2">
        <f>ROW(A1)</f>
        <v>1</v>
      </c>
      <c r="B2">
        <v>3</v>
      </c>
      <c r="C2">
        <v>3</v>
      </c>
      <c r="D2">
        <v>2</v>
      </c>
      <c r="E2">
        <v>3</v>
      </c>
      <c r="F2">
        <v>3</v>
      </c>
    </row>
    <row r="3" spans="1:6" x14ac:dyDescent="0.25">
      <c r="A3">
        <f t="shared" ref="A3:A21" si="0">ROW(A2)</f>
        <v>2</v>
      </c>
      <c r="B3">
        <v>2</v>
      </c>
      <c r="C3">
        <v>2</v>
      </c>
      <c r="D3">
        <v>2</v>
      </c>
      <c r="E3">
        <v>2</v>
      </c>
      <c r="F3">
        <v>2</v>
      </c>
    </row>
    <row r="4" spans="1:6" x14ac:dyDescent="0.25">
      <c r="A4">
        <f t="shared" si="0"/>
        <v>3</v>
      </c>
      <c r="B4">
        <v>2</v>
      </c>
      <c r="C4">
        <v>2</v>
      </c>
      <c r="D4">
        <v>2</v>
      </c>
      <c r="E4">
        <v>2</v>
      </c>
      <c r="F4">
        <v>2</v>
      </c>
    </row>
    <row r="5" spans="1:6" x14ac:dyDescent="0.25">
      <c r="A5">
        <f t="shared" si="0"/>
        <v>4</v>
      </c>
      <c r="B5">
        <v>4</v>
      </c>
      <c r="C5">
        <v>4</v>
      </c>
      <c r="D5">
        <v>3</v>
      </c>
      <c r="E5">
        <v>4</v>
      </c>
      <c r="F5">
        <v>4</v>
      </c>
    </row>
    <row r="6" spans="1:6" x14ac:dyDescent="0.25">
      <c r="A6">
        <f t="shared" si="0"/>
        <v>5</v>
      </c>
      <c r="B6">
        <v>2</v>
      </c>
      <c r="C6">
        <v>1</v>
      </c>
      <c r="D6">
        <v>1</v>
      </c>
      <c r="E6">
        <v>1</v>
      </c>
      <c r="F6">
        <v>1</v>
      </c>
    </row>
    <row r="7" spans="1:6" x14ac:dyDescent="0.25">
      <c r="A7">
        <f t="shared" si="0"/>
        <v>6</v>
      </c>
      <c r="B7">
        <v>5</v>
      </c>
      <c r="C7">
        <v>5</v>
      </c>
      <c r="D7">
        <v>4</v>
      </c>
      <c r="E7">
        <v>5</v>
      </c>
      <c r="F7">
        <v>5</v>
      </c>
    </row>
    <row r="8" spans="1:6" x14ac:dyDescent="0.25">
      <c r="A8">
        <f t="shared" si="0"/>
        <v>7</v>
      </c>
      <c r="B8">
        <v>4</v>
      </c>
      <c r="C8">
        <v>4</v>
      </c>
      <c r="D8">
        <v>4</v>
      </c>
      <c r="E8">
        <v>5</v>
      </c>
      <c r="F8">
        <v>4</v>
      </c>
    </row>
    <row r="9" spans="1:6" x14ac:dyDescent="0.25">
      <c r="A9">
        <f t="shared" si="0"/>
        <v>8</v>
      </c>
      <c r="B9">
        <v>3</v>
      </c>
      <c r="C9">
        <v>3</v>
      </c>
      <c r="D9">
        <v>2</v>
      </c>
      <c r="E9">
        <v>3</v>
      </c>
      <c r="F9">
        <v>3</v>
      </c>
    </row>
    <row r="10" spans="1:6" x14ac:dyDescent="0.25">
      <c r="A10">
        <f t="shared" si="0"/>
        <v>9</v>
      </c>
      <c r="B10">
        <v>3</v>
      </c>
      <c r="C10">
        <v>3</v>
      </c>
      <c r="D10">
        <v>3</v>
      </c>
      <c r="E10">
        <v>3</v>
      </c>
      <c r="F10">
        <v>3</v>
      </c>
    </row>
    <row r="11" spans="1:6" x14ac:dyDescent="0.25">
      <c r="A11">
        <f t="shared" si="0"/>
        <v>10</v>
      </c>
      <c r="B11">
        <v>4</v>
      </c>
      <c r="C11">
        <v>4</v>
      </c>
      <c r="D11">
        <v>5</v>
      </c>
      <c r="E11">
        <v>4</v>
      </c>
      <c r="F11">
        <v>4</v>
      </c>
    </row>
    <row r="12" spans="1:6" x14ac:dyDescent="0.25">
      <c r="A12">
        <f t="shared" si="0"/>
        <v>11</v>
      </c>
      <c r="B12">
        <v>2</v>
      </c>
      <c r="C12">
        <v>2</v>
      </c>
      <c r="D12">
        <v>1</v>
      </c>
      <c r="E12">
        <v>2</v>
      </c>
      <c r="F12">
        <v>2</v>
      </c>
    </row>
    <row r="13" spans="1:6" x14ac:dyDescent="0.25">
      <c r="A13">
        <f t="shared" si="0"/>
        <v>12</v>
      </c>
      <c r="B13">
        <v>3</v>
      </c>
      <c r="C13">
        <v>3</v>
      </c>
      <c r="D13">
        <v>3</v>
      </c>
      <c r="E13">
        <v>3</v>
      </c>
      <c r="F13">
        <v>3</v>
      </c>
    </row>
    <row r="14" spans="1:6" x14ac:dyDescent="0.25">
      <c r="A14">
        <f t="shared" si="0"/>
        <v>13</v>
      </c>
      <c r="B14">
        <v>5</v>
      </c>
      <c r="C14">
        <v>5</v>
      </c>
      <c r="D14">
        <v>4</v>
      </c>
      <c r="E14">
        <v>5</v>
      </c>
      <c r="F14">
        <v>5</v>
      </c>
    </row>
    <row r="15" spans="1:6" x14ac:dyDescent="0.25">
      <c r="A15">
        <f t="shared" si="0"/>
        <v>14</v>
      </c>
      <c r="B15">
        <v>2</v>
      </c>
      <c r="C15">
        <v>2</v>
      </c>
      <c r="D15">
        <v>2</v>
      </c>
      <c r="E15">
        <v>2</v>
      </c>
      <c r="F15">
        <v>2</v>
      </c>
    </row>
    <row r="16" spans="1:6" x14ac:dyDescent="0.25">
      <c r="A16">
        <f t="shared" si="0"/>
        <v>15</v>
      </c>
      <c r="B16">
        <v>2</v>
      </c>
      <c r="C16">
        <v>2</v>
      </c>
      <c r="D16">
        <v>2</v>
      </c>
      <c r="E16">
        <v>2</v>
      </c>
      <c r="F16">
        <v>2</v>
      </c>
    </row>
    <row r="17" spans="1:6" x14ac:dyDescent="0.25">
      <c r="A17">
        <f t="shared" si="0"/>
        <v>16</v>
      </c>
      <c r="B17">
        <v>2</v>
      </c>
      <c r="C17">
        <v>2</v>
      </c>
      <c r="D17">
        <v>2</v>
      </c>
      <c r="E17">
        <v>2</v>
      </c>
      <c r="F17">
        <v>2</v>
      </c>
    </row>
    <row r="18" spans="1:6" x14ac:dyDescent="0.25">
      <c r="A18">
        <f t="shared" si="0"/>
        <v>17</v>
      </c>
      <c r="B18">
        <v>2</v>
      </c>
      <c r="C18">
        <v>2</v>
      </c>
      <c r="D18">
        <v>2</v>
      </c>
      <c r="E18">
        <v>2</v>
      </c>
      <c r="F18">
        <v>2</v>
      </c>
    </row>
    <row r="19" spans="1:6" x14ac:dyDescent="0.25">
      <c r="A19">
        <f t="shared" si="0"/>
        <v>18</v>
      </c>
      <c r="B19">
        <v>4</v>
      </c>
      <c r="C19">
        <v>4</v>
      </c>
      <c r="D19">
        <v>3</v>
      </c>
      <c r="E19">
        <v>4</v>
      </c>
      <c r="F19">
        <v>3</v>
      </c>
    </row>
    <row r="20" spans="1:6" x14ac:dyDescent="0.25">
      <c r="A20">
        <f t="shared" si="0"/>
        <v>19</v>
      </c>
      <c r="B20">
        <v>3</v>
      </c>
      <c r="C20">
        <v>3</v>
      </c>
      <c r="D20">
        <v>3</v>
      </c>
      <c r="E20">
        <v>3</v>
      </c>
      <c r="F20">
        <v>3</v>
      </c>
    </row>
    <row r="21" spans="1:6" x14ac:dyDescent="0.25">
      <c r="A21">
        <f t="shared" si="0"/>
        <v>20</v>
      </c>
      <c r="B21">
        <v>2</v>
      </c>
      <c r="C21">
        <v>2</v>
      </c>
      <c r="D21">
        <v>2</v>
      </c>
      <c r="E21">
        <v>2</v>
      </c>
      <c r="F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Call center data</vt:lpstr>
      <vt:lpstr>Capability</vt:lpstr>
      <vt:lpstr>Charts</vt:lpstr>
      <vt:lpstr>MSA</vt:lpstr>
      <vt:lpstr>QA Analyst 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</dc:creator>
  <cp:lastModifiedBy>Arvind</cp:lastModifiedBy>
  <dcterms:created xsi:type="dcterms:W3CDTF">2025-10-30T18:41:08Z</dcterms:created>
  <dcterms:modified xsi:type="dcterms:W3CDTF">2025-11-06T19:54:23Z</dcterms:modified>
</cp:coreProperties>
</file>